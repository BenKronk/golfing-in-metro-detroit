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1bba355161acd5d/Desktop/GOLF/"/>
    </mc:Choice>
  </mc:AlternateContent>
  <xr:revisionPtr revIDLastSave="1019" documentId="8_{BB553704-BD88-4D38-B2FC-0998F98A986E}" xr6:coauthVersionLast="47" xr6:coauthVersionMax="47" xr10:uidLastSave="{29080DEC-0C6F-4914-AB74-C79B3246D4B2}"/>
  <bookViews>
    <workbookView xWindow="-108" yWindow="-108" windowWidth="23256" windowHeight="13896" activeTab="9" xr2:uid="{00000000-000D-0000-FFFF-FFFF00000000}"/>
  </bookViews>
  <sheets>
    <sheet name="REBUILT" sheetId="12" r:id="rId1"/>
    <sheet name="Main Data" sheetId="1" r:id="rId2"/>
    <sheet name="County" sheetId="15" r:id="rId3"/>
    <sheet name="course_coordinates (1)" sheetId="10" r:id="rId4"/>
    <sheet name="Google Ratings" sheetId="14" r:id="rId5"/>
    <sheet name="Slope Ratings" sheetId="6" r:id="rId6"/>
    <sheet name="Courses" sheetId="2" r:id="rId7"/>
    <sheet name="GreenFees" sheetId="3" state="hidden" r:id="rId8"/>
    <sheet name="README" sheetId="4" r:id="rId9"/>
    <sheet name="CANVA" sheetId="8" r:id="rId10"/>
    <sheet name="CallSheet" sheetId="5" state="hidden" r:id="rId11"/>
  </sheets>
  <definedNames>
    <definedName name="_xlnm._FilterDatabase" localSheetId="1" hidden="1">'Main Data'!$A$1:$N$141</definedName>
    <definedName name="_xlnm._FilterDatabase" localSheetId="0" hidden="1">REBUILT!$A$1:$I$128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2" l="1"/>
  <c r="D4" i="12"/>
  <c r="D5" i="12"/>
  <c r="D6" i="12"/>
  <c r="D7" i="12"/>
  <c r="D8" i="12"/>
  <c r="D9" i="12"/>
  <c r="D10" i="12"/>
  <c r="D11" i="12"/>
  <c r="D12" i="12"/>
  <c r="D13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G13" i="12"/>
  <c r="G15" i="12"/>
  <c r="G16" i="12"/>
  <c r="G17" i="12"/>
  <c r="G18" i="12"/>
  <c r="G19" i="12"/>
  <c r="G20" i="12"/>
  <c r="G21" i="12"/>
  <c r="G22" i="12"/>
  <c r="G23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3" i="12"/>
  <c r="G4" i="12"/>
  <c r="G5" i="12"/>
  <c r="G6" i="12"/>
  <c r="G7" i="12"/>
  <c r="G8" i="12"/>
  <c r="G9" i="12"/>
  <c r="G10" i="12"/>
  <c r="G11" i="12"/>
  <c r="H3" i="12"/>
  <c r="H4" i="12"/>
  <c r="H5" i="12"/>
  <c r="H6" i="12"/>
  <c r="H7" i="12"/>
  <c r="H8" i="12"/>
  <c r="H9" i="12"/>
  <c r="H10" i="12"/>
  <c r="H11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I3" i="12"/>
  <c r="I4" i="12"/>
  <c r="I5" i="12"/>
  <c r="I6" i="12"/>
  <c r="I7" i="12"/>
  <c r="I8" i="12"/>
  <c r="I9" i="12"/>
  <c r="I10" i="12"/>
  <c r="I11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C2" i="12"/>
  <c r="I2" i="12"/>
  <c r="H2" i="12"/>
  <c r="G2" i="12"/>
  <c r="G116" i="1"/>
  <c r="G68" i="1"/>
  <c r="E2" i="12"/>
  <c r="G6" i="1"/>
  <c r="G70" i="1"/>
  <c r="G99" i="1"/>
  <c r="G8" i="1"/>
  <c r="G10" i="1"/>
  <c r="G27" i="1"/>
  <c r="G65" i="1"/>
  <c r="G33" i="1"/>
  <c r="G58" i="1"/>
  <c r="G101" i="1"/>
  <c r="G42" i="1"/>
  <c r="G131" i="1"/>
  <c r="G25" i="1"/>
  <c r="G37" i="1"/>
  <c r="G19" i="1"/>
  <c r="G43" i="1"/>
  <c r="G21" i="1"/>
  <c r="G102" i="1"/>
  <c r="G35" i="1"/>
  <c r="G40" i="1"/>
  <c r="G45" i="1"/>
  <c r="G4" i="1"/>
  <c r="G20" i="1"/>
  <c r="G53" i="1"/>
  <c r="G50" i="1"/>
  <c r="G5" i="1"/>
  <c r="G57" i="1"/>
  <c r="G66" i="1"/>
  <c r="G110" i="1"/>
  <c r="G13" i="1"/>
  <c r="G105" i="1"/>
  <c r="G15" i="1"/>
  <c r="G97" i="1"/>
  <c r="G46" i="1"/>
  <c r="G125" i="1"/>
  <c r="G122" i="1"/>
  <c r="G17" i="1"/>
  <c r="G114" i="1"/>
  <c r="G31" i="1"/>
  <c r="G88" i="1"/>
  <c r="G32" i="1"/>
  <c r="G60" i="1"/>
  <c r="G22" i="1"/>
  <c r="G111" i="1"/>
  <c r="G75" i="1"/>
  <c r="G77" i="1"/>
  <c r="G119" i="1"/>
  <c r="G62" i="1"/>
  <c r="G30" i="1"/>
  <c r="G78" i="1"/>
  <c r="G49" i="1"/>
  <c r="G51" i="1"/>
  <c r="G64" i="1"/>
  <c r="G124" i="1"/>
  <c r="G56" i="1"/>
  <c r="G24" i="1"/>
  <c r="G16" i="1"/>
  <c r="G95" i="1"/>
  <c r="G41" i="1"/>
  <c r="G92" i="1"/>
  <c r="G2" i="1"/>
  <c r="G34" i="1"/>
  <c r="G83" i="1"/>
  <c r="G79" i="1"/>
  <c r="G39" i="1"/>
  <c r="G23" i="1"/>
  <c r="G44" i="1"/>
  <c r="G106" i="1"/>
  <c r="G87" i="1"/>
  <c r="G93" i="1"/>
  <c r="G112" i="1"/>
  <c r="G3" i="1"/>
  <c r="G26" i="1"/>
  <c r="G14" i="1"/>
  <c r="G108" i="1"/>
  <c r="G7" i="1"/>
  <c r="G67" i="1"/>
  <c r="G117" i="1"/>
  <c r="G36" i="1"/>
  <c r="G69" i="1"/>
  <c r="G129" i="1"/>
  <c r="G71" i="1"/>
  <c r="G94" i="1"/>
  <c r="G120" i="1"/>
  <c r="G9" i="1"/>
  <c r="G104" i="1"/>
  <c r="G85" i="1"/>
  <c r="G103" i="1"/>
  <c r="G113" i="1"/>
  <c r="G73" i="1"/>
  <c r="G98" i="1"/>
  <c r="G126" i="1"/>
  <c r="G59" i="1"/>
  <c r="G28" i="1"/>
  <c r="G84" i="1"/>
  <c r="G107" i="1"/>
  <c r="G47" i="1"/>
  <c r="G121" i="1"/>
  <c r="G76" i="1"/>
  <c r="G82" i="1"/>
  <c r="G12" i="1"/>
  <c r="G80" i="1"/>
  <c r="G55" i="1"/>
  <c r="G86" i="1"/>
  <c r="G38" i="1"/>
  <c r="G54" i="1"/>
  <c r="G63" i="1"/>
  <c r="G90" i="1"/>
  <c r="G96" i="1"/>
  <c r="G115" i="1"/>
  <c r="G89" i="1"/>
  <c r="G130" i="1"/>
  <c r="G81" i="1"/>
  <c r="G11" i="1"/>
  <c r="G127" i="1"/>
  <c r="G52" i="1"/>
  <c r="G109" i="1"/>
  <c r="G91" i="1"/>
  <c r="G61" i="1"/>
  <c r="G123" i="1"/>
  <c r="G29" i="1"/>
  <c r="G48" i="1"/>
  <c r="G72" i="1"/>
  <c r="G118" i="1"/>
  <c r="G100" i="1"/>
  <c r="G128" i="1"/>
  <c r="G18" i="1"/>
  <c r="G74" i="1"/>
  <c r="M6" i="1"/>
  <c r="M70" i="1"/>
  <c r="M99" i="1"/>
  <c r="M8" i="1"/>
  <c r="M10" i="1"/>
  <c r="M27" i="1"/>
  <c r="M65" i="1"/>
  <c r="M33" i="1"/>
  <c r="M58" i="1"/>
  <c r="M101" i="1"/>
  <c r="M42" i="1"/>
  <c r="M131" i="1"/>
  <c r="M25" i="1"/>
  <c r="M37" i="1"/>
  <c r="M19" i="1"/>
  <c r="M43" i="1"/>
  <c r="M21" i="1"/>
  <c r="M102" i="1"/>
  <c r="M35" i="1"/>
  <c r="M40" i="1"/>
  <c r="M45" i="1"/>
  <c r="M4" i="1"/>
  <c r="M68" i="1"/>
  <c r="M20" i="1"/>
  <c r="M53" i="1"/>
  <c r="M50" i="1"/>
  <c r="M5" i="1"/>
  <c r="M57" i="1"/>
  <c r="M66" i="1"/>
  <c r="M110" i="1"/>
  <c r="M13" i="1"/>
  <c r="M105" i="1"/>
  <c r="M15" i="1"/>
  <c r="M97" i="1"/>
  <c r="M46" i="1"/>
  <c r="M125" i="1"/>
  <c r="M122" i="1"/>
  <c r="M17" i="1"/>
  <c r="M114" i="1"/>
  <c r="M31" i="1"/>
  <c r="M88" i="1"/>
  <c r="M32" i="1"/>
  <c r="M60" i="1"/>
  <c r="M22" i="1"/>
  <c r="M111" i="1"/>
  <c r="M75" i="1"/>
  <c r="M77" i="1"/>
  <c r="M119" i="1"/>
  <c r="M62" i="1"/>
  <c r="M30" i="1"/>
  <c r="M78" i="1"/>
  <c r="M49" i="1"/>
  <c r="M51" i="1"/>
  <c r="M64" i="1"/>
  <c r="M124" i="1"/>
  <c r="M56" i="1"/>
  <c r="M24" i="1"/>
  <c r="M16" i="1"/>
  <c r="M95" i="1"/>
  <c r="M41" i="1"/>
  <c r="M92" i="1"/>
  <c r="M2" i="1"/>
  <c r="M34" i="1"/>
  <c r="M83" i="1"/>
  <c r="M79" i="1"/>
  <c r="M39" i="1"/>
  <c r="M23" i="1"/>
  <c r="M44" i="1"/>
  <c r="M106" i="1"/>
  <c r="M87" i="1"/>
  <c r="M93" i="1"/>
  <c r="M112" i="1"/>
  <c r="M3" i="1"/>
  <c r="M26" i="1"/>
  <c r="M14" i="1"/>
  <c r="M108" i="1"/>
  <c r="M7" i="1"/>
  <c r="M67" i="1"/>
  <c r="M117" i="1"/>
  <c r="M36" i="1"/>
  <c r="M69" i="1"/>
  <c r="M129" i="1"/>
  <c r="M71" i="1"/>
  <c r="M94" i="1"/>
  <c r="M120" i="1"/>
  <c r="M9" i="1"/>
  <c r="M104" i="1"/>
  <c r="M85" i="1"/>
  <c r="M103" i="1"/>
  <c r="M113" i="1"/>
  <c r="M73" i="1"/>
  <c r="M98" i="1"/>
  <c r="M126" i="1"/>
  <c r="M59" i="1"/>
  <c r="M28" i="1"/>
  <c r="M84" i="1"/>
  <c r="M107" i="1"/>
  <c r="M47" i="1"/>
  <c r="M121" i="1"/>
  <c r="M76" i="1"/>
  <c r="M82" i="1"/>
  <c r="M12" i="1"/>
  <c r="M80" i="1"/>
  <c r="M55" i="1"/>
  <c r="M86" i="1"/>
  <c r="M38" i="1"/>
  <c r="M54" i="1"/>
  <c r="M63" i="1"/>
  <c r="M90" i="1"/>
  <c r="M96" i="1"/>
  <c r="M115" i="1"/>
  <c r="M89" i="1"/>
  <c r="M130" i="1"/>
  <c r="M81" i="1"/>
  <c r="M11" i="1"/>
  <c r="M127" i="1"/>
  <c r="M52" i="1"/>
  <c r="M109" i="1"/>
  <c r="M91" i="1"/>
  <c r="M61" i="1"/>
  <c r="M123" i="1"/>
  <c r="M29" i="1"/>
  <c r="M48" i="1"/>
  <c r="M72" i="1"/>
  <c r="M118" i="1"/>
  <c r="M100" i="1"/>
  <c r="M128" i="1"/>
  <c r="M18" i="1"/>
  <c r="M74" i="1"/>
  <c r="M116" i="1"/>
  <c r="L6" i="1"/>
  <c r="L70" i="1"/>
  <c r="L99" i="1"/>
  <c r="L8" i="1"/>
  <c r="L10" i="1"/>
  <c r="L27" i="1"/>
  <c r="L65" i="1"/>
  <c r="L33" i="1"/>
  <c r="L58" i="1"/>
  <c r="L101" i="1"/>
  <c r="L42" i="1"/>
  <c r="L131" i="1"/>
  <c r="L25" i="1"/>
  <c r="L37" i="1"/>
  <c r="L19" i="1"/>
  <c r="L43" i="1"/>
  <c r="L21" i="1"/>
  <c r="L102" i="1"/>
  <c r="L35" i="1"/>
  <c r="L40" i="1"/>
  <c r="L45" i="1"/>
  <c r="L4" i="1"/>
  <c r="L68" i="1"/>
  <c r="L20" i="1"/>
  <c r="L53" i="1"/>
  <c r="L50" i="1"/>
  <c r="L5" i="1"/>
  <c r="L57" i="1"/>
  <c r="L66" i="1"/>
  <c r="L110" i="1"/>
  <c r="L13" i="1"/>
  <c r="L105" i="1"/>
  <c r="L15" i="1"/>
  <c r="L97" i="1"/>
  <c r="L46" i="1"/>
  <c r="L125" i="1"/>
  <c r="L122" i="1"/>
  <c r="L17" i="1"/>
  <c r="L114" i="1"/>
  <c r="L31" i="1"/>
  <c r="L88" i="1"/>
  <c r="L32" i="1"/>
  <c r="L60" i="1"/>
  <c r="L22" i="1"/>
  <c r="L111" i="1"/>
  <c r="L75" i="1"/>
  <c r="L77" i="1"/>
  <c r="L119" i="1"/>
  <c r="L62" i="1"/>
  <c r="L30" i="1"/>
  <c r="L78" i="1"/>
  <c r="L49" i="1"/>
  <c r="L51" i="1"/>
  <c r="L64" i="1"/>
  <c r="L124" i="1"/>
  <c r="L56" i="1"/>
  <c r="L24" i="1"/>
  <c r="L16" i="1"/>
  <c r="L95" i="1"/>
  <c r="L41" i="1"/>
  <c r="L92" i="1"/>
  <c r="L2" i="1"/>
  <c r="L34" i="1"/>
  <c r="L83" i="1"/>
  <c r="L79" i="1"/>
  <c r="L39" i="1"/>
  <c r="L23" i="1"/>
  <c r="L44" i="1"/>
  <c r="L106" i="1"/>
  <c r="L87" i="1"/>
  <c r="L93" i="1"/>
  <c r="L112" i="1"/>
  <c r="L3" i="1"/>
  <c r="L26" i="1"/>
  <c r="L14" i="1"/>
  <c r="L108" i="1"/>
  <c r="L7" i="1"/>
  <c r="L67" i="1"/>
  <c r="L117" i="1"/>
  <c r="L36" i="1"/>
  <c r="L69" i="1"/>
  <c r="L129" i="1"/>
  <c r="L71" i="1"/>
  <c r="L94" i="1"/>
  <c r="L120" i="1"/>
  <c r="L9" i="1"/>
  <c r="L104" i="1"/>
  <c r="L85" i="1"/>
  <c r="L103" i="1"/>
  <c r="L113" i="1"/>
  <c r="L73" i="1"/>
  <c r="L98" i="1"/>
  <c r="L126" i="1"/>
  <c r="L59" i="1"/>
  <c r="L28" i="1"/>
  <c r="L84" i="1"/>
  <c r="L107" i="1"/>
  <c r="L47" i="1"/>
  <c r="L121" i="1"/>
  <c r="L76" i="1"/>
  <c r="L82" i="1"/>
  <c r="L12" i="1"/>
  <c r="L80" i="1"/>
  <c r="L55" i="1"/>
  <c r="L86" i="1"/>
  <c r="L38" i="1"/>
  <c r="L54" i="1"/>
  <c r="L63" i="1"/>
  <c r="L90" i="1"/>
  <c r="L96" i="1"/>
  <c r="L115" i="1"/>
  <c r="L89" i="1"/>
  <c r="L130" i="1"/>
  <c r="L81" i="1"/>
  <c r="L11" i="1"/>
  <c r="L127" i="1"/>
  <c r="L52" i="1"/>
  <c r="L109" i="1"/>
  <c r="L91" i="1"/>
  <c r="L61" i="1"/>
  <c r="L123" i="1"/>
  <c r="L29" i="1"/>
  <c r="L48" i="1"/>
  <c r="L72" i="1"/>
  <c r="L118" i="1"/>
  <c r="L100" i="1"/>
  <c r="L128" i="1"/>
  <c r="L18" i="1"/>
  <c r="L74" i="1"/>
  <c r="L116" i="1"/>
  <c r="D9" i="6"/>
  <c r="D10" i="6"/>
  <c r="D3" i="6"/>
  <c r="D4" i="6"/>
  <c r="D5" i="6"/>
  <c r="D6" i="6"/>
  <c r="D7" i="6"/>
  <c r="D8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2" i="6"/>
</calcChain>
</file>

<file path=xl/sharedStrings.xml><?xml version="1.0" encoding="utf-8"?>
<sst xmlns="http://schemas.openxmlformats.org/spreadsheetml/2006/main" count="3582" uniqueCount="722">
  <si>
    <t>#</t>
  </si>
  <si>
    <t>course</t>
  </si>
  <si>
    <t>city</t>
  </si>
  <si>
    <t>county</t>
  </si>
  <si>
    <t>type (provisional)</t>
  </si>
  <si>
    <t>phone</t>
  </si>
  <si>
    <t>google_rating</t>
  </si>
  <si>
    <t>google_reviews</t>
  </si>
  <si>
    <t>year_built</t>
  </si>
  <si>
    <t>WD_18_ride</t>
  </si>
  <si>
    <t>WE_18_ride</t>
  </si>
  <si>
    <t>twilight</t>
  </si>
  <si>
    <t>resident_rate</t>
  </si>
  <si>
    <t>date_called</t>
  </si>
  <si>
    <t>notes</t>
  </si>
  <si>
    <t>Public</t>
  </si>
  <si>
    <t>1967</t>
  </si>
  <si>
    <t>Cedar Glen Golf and Outing</t>
  </si>
  <si>
    <t>New Baltimore</t>
  </si>
  <si>
    <t>Macomb</t>
  </si>
  <si>
    <t>Fern Hill Golf Club</t>
  </si>
  <si>
    <t>Clinton Township</t>
  </si>
  <si>
    <t>Glacier Club</t>
  </si>
  <si>
    <t>Washington</t>
  </si>
  <si>
    <t>Greystone Golf Club</t>
  </si>
  <si>
    <t>1992</t>
  </si>
  <si>
    <t>Sterling Heights</t>
  </si>
  <si>
    <t>1926</t>
  </si>
  <si>
    <t>New Haven</t>
  </si>
  <si>
    <t>Pine Valley Golf &amp; Country Club</t>
  </si>
  <si>
    <t>Ray</t>
  </si>
  <si>
    <t>Plum Brook Golf Club</t>
  </si>
  <si>
    <t>Rammler Golf Club</t>
  </si>
  <si>
    <t>Stony Creek Metropark Golf Course</t>
  </si>
  <si>
    <t>Shelby Township</t>
  </si>
  <si>
    <t>Warfield Greens Golf Club</t>
  </si>
  <si>
    <t>Fraser</t>
  </si>
  <si>
    <t>Selfridge Golf Course</t>
  </si>
  <si>
    <t>Selfridge ANGB</t>
  </si>
  <si>
    <t>Harrison Township</t>
  </si>
  <si>
    <t>Bee Tee Golf Course</t>
  </si>
  <si>
    <t>Public/Muni</t>
  </si>
  <si>
    <t>+1 586-466-0100</t>
  </si>
  <si>
    <t>Bello Woods Golf Course</t>
  </si>
  <si>
    <t>+1 586-949-1200</t>
  </si>
  <si>
    <t>Bruce Hills Public Golf Course</t>
  </si>
  <si>
    <t>Bruce Township</t>
  </si>
  <si>
    <t>+1 586-752-7244</t>
  </si>
  <si>
    <t>Cherry Creek Golf Club</t>
  </si>
  <si>
    <t>+1 586-254-7700</t>
  </si>
  <si>
    <t>Cracklewood Golf Club</t>
  </si>
  <si>
    <t>+1 586-781-0808</t>
  </si>
  <si>
    <t>1989</t>
  </si>
  <si>
    <t>Heather Hills Golf Club</t>
  </si>
  <si>
    <t>+1 810-798-3971</t>
  </si>
  <si>
    <t>Hickory Hollow Golf Club</t>
  </si>
  <si>
    <t>+1 586-949-9033</t>
  </si>
  <si>
    <t>Sycamore Hills Golf Club</t>
  </si>
  <si>
    <t>+1 586-598-9500</t>
  </si>
  <si>
    <t>The Orchards Golf Club</t>
  </si>
  <si>
    <t>+1 586-786-7200</t>
  </si>
  <si>
    <t>Gowanie Golf Club</t>
  </si>
  <si>
    <t>Birmingham Country Club</t>
  </si>
  <si>
    <t>Birmingham</t>
  </si>
  <si>
    <t>Oakland</t>
  </si>
  <si>
    <t>Private</t>
  </si>
  <si>
    <t>Bloomfield Hills Country Club</t>
  </si>
  <si>
    <t>Bloomfield Hills</t>
  </si>
  <si>
    <t>+1 248-644-6262</t>
  </si>
  <si>
    <t>1913</t>
  </si>
  <si>
    <t>Edgewood Country Club</t>
  </si>
  <si>
    <t>Commerce Township</t>
  </si>
  <si>
    <t>Forest Lake Country Club</t>
  </si>
  <si>
    <t>Bloomfield Township</t>
  </si>
  <si>
    <t>Franklin Hills Country Club</t>
  </si>
  <si>
    <t>Franklin</t>
  </si>
  <si>
    <t>Great Oaks Country Club</t>
  </si>
  <si>
    <t>Rochester Hills</t>
  </si>
  <si>
    <t>Heathers Club of Bloomfield</t>
  </si>
  <si>
    <t>Indianwood Golf &amp; Country Club</t>
  </si>
  <si>
    <t>Lake Orion</t>
  </si>
  <si>
    <t>Knollwood Country Club</t>
  </si>
  <si>
    <t>West Bloomfield Township</t>
  </si>
  <si>
    <t>+1 248-855-1800</t>
  </si>
  <si>
    <t>Oakland Hills Country Club</t>
  </si>
  <si>
    <t>+1 248-644-2500</t>
  </si>
  <si>
    <t>1918</t>
  </si>
  <si>
    <t>Orchard Lake Country Club</t>
  </si>
  <si>
    <t>+1 248-682-0100</t>
  </si>
  <si>
    <t>Pine Lake Country Club</t>
  </si>
  <si>
    <t>+1 248-682-1300</t>
  </si>
  <si>
    <t>Plum Hollow Country Club</t>
  </si>
  <si>
    <t>Southfield</t>
  </si>
  <si>
    <t>+1 248-357-5353</t>
  </si>
  <si>
    <t>Red Run Golf Club</t>
  </si>
  <si>
    <t>Royal Oak</t>
  </si>
  <si>
    <t>+1 248-548-7500</t>
  </si>
  <si>
    <t>Stonycroft Hills Club</t>
  </si>
  <si>
    <t>The Wyndgate Country Club</t>
  </si>
  <si>
    <t>+1 248-652-4283</t>
  </si>
  <si>
    <t>Wabeek Club</t>
  </si>
  <si>
    <t>1972</t>
  </si>
  <si>
    <t>Walnut Creek Country Club</t>
  </si>
  <si>
    <t>South Lyon</t>
  </si>
  <si>
    <t>Glen Oaks Country Club</t>
  </si>
  <si>
    <t>Farmington Hills</t>
  </si>
  <si>
    <t>Private/dup?</t>
  </si>
  <si>
    <t>+1 248-626-2600</t>
  </si>
  <si>
    <t>Bay Pointe Golf Club</t>
  </si>
  <si>
    <t>Beacon Hill Golf Club</t>
  </si>
  <si>
    <t>Blackheath Golf Club</t>
  </si>
  <si>
    <t>Oakland Township</t>
  </si>
  <si>
    <t>Boulder Pointe Golf Club</t>
  </si>
  <si>
    <t>Oxford</t>
  </si>
  <si>
    <t>Brentwood Golf Club</t>
  </si>
  <si>
    <t>White Lake</t>
  </si>
  <si>
    <t>Copper Hills Golf Club</t>
  </si>
  <si>
    <t>Coyote Golf Club</t>
  </si>
  <si>
    <t>New Hudson</t>
  </si>
  <si>
    <t>Fieldstone Golf Club</t>
  </si>
  <si>
    <t>Auburn Hills</t>
  </si>
  <si>
    <t>Fountains Golf &amp; Banquet</t>
  </si>
  <si>
    <t>Village of Clarkston</t>
  </si>
  <si>
    <t>Heather Highlands Golf Club</t>
  </si>
  <si>
    <t>Holly</t>
  </si>
  <si>
    <t>Highland Hills Golf Club</t>
  </si>
  <si>
    <t>Highland Township</t>
  </si>
  <si>
    <t>Indian Springs Metropark Golf</t>
  </si>
  <si>
    <t>Lyon Oaks County Park Golf Course</t>
  </si>
  <si>
    <t>Wixom</t>
  </si>
  <si>
    <t>Mystic Creek Golf Course</t>
  </si>
  <si>
    <t>Milford</t>
  </si>
  <si>
    <t>Myth Public Golf Course</t>
  </si>
  <si>
    <t>Oxford Hills Golf Club</t>
  </si>
  <si>
    <t>Pine Knob Golf Club</t>
  </si>
  <si>
    <t>Pontiac Country Club</t>
  </si>
  <si>
    <t>Waterford Township</t>
  </si>
  <si>
    <t>~1943</t>
  </si>
  <si>
    <t>Shepherd's Hollow Golf Club</t>
  </si>
  <si>
    <t>Silver Lake Golf Club</t>
  </si>
  <si>
    <t>Springfield Oaks Golf Course</t>
  </si>
  <si>
    <t>Davisburg</t>
  </si>
  <si>
    <t>The Links at Crystal Lake</t>
  </si>
  <si>
    <t>Pontiac</t>
  </si>
  <si>
    <t>White Lake Oaks Golf Course</t>
  </si>
  <si>
    <t>Hickory Hill Golf Course</t>
  </si>
  <si>
    <t>Royal Oak Golf Course</t>
  </si>
  <si>
    <t>Springdale Golf Course</t>
  </si>
  <si>
    <t>Little Myth Par 3 Golf Course</t>
  </si>
  <si>
    <t>Copper Creek Golf Course</t>
  </si>
  <si>
    <t>+1 248-489-1777</t>
  </si>
  <si>
    <t>Evergreen Hills Golf Course</t>
  </si>
  <si>
    <t>+1 248-796-4666</t>
  </si>
  <si>
    <t>Farmington Hills Golf Club</t>
  </si>
  <si>
    <t>+1 248-473-1866</t>
  </si>
  <si>
    <t>Glen Oaks Golf Course</t>
  </si>
  <si>
    <t>+1 248-851-8356</t>
  </si>
  <si>
    <t>Hampton Golf Club</t>
  </si>
  <si>
    <t>+1 248-852-3250</t>
  </si>
  <si>
    <t>Lincoln Hills Golf Course</t>
  </si>
  <si>
    <t>+1 248-530-1670</t>
  </si>
  <si>
    <t>Links of Novi</t>
  </si>
  <si>
    <t>Novi</t>
  </si>
  <si>
    <t>+1 248-380-9595</t>
  </si>
  <si>
    <t>Maples Golf Club</t>
  </si>
  <si>
    <t>+1 248-896-2765</t>
  </si>
  <si>
    <t>Pine Trace Golf Club</t>
  </si>
  <si>
    <t>+1 248-852-7100</t>
  </si>
  <si>
    <t>Rackham Golf Course</t>
  </si>
  <si>
    <t>Huntington Woods</t>
  </si>
  <si>
    <t>+1 248-543-4040</t>
  </si>
  <si>
    <t>Sanctuary Lake Golf Course</t>
  </si>
  <si>
    <t>Troy</t>
  </si>
  <si>
    <t>+1 248-619-7600</t>
  </si>
  <si>
    <t>Somerset Golf Club</t>
  </si>
  <si>
    <t>+1 248-643-8737</t>
  </si>
  <si>
    <t>Sylvan Glen Golf Course</t>
  </si>
  <si>
    <t>+1 248-619-7692</t>
  </si>
  <si>
    <t>Oakhurst Golf &amp; Country Club</t>
  </si>
  <si>
    <t>Paint Creek Country Club</t>
  </si>
  <si>
    <t>Prestwick Village Golf Club</t>
  </si>
  <si>
    <t>Highland</t>
  </si>
  <si>
    <t>Twin Lakes Golf Club</t>
  </si>
  <si>
    <t>St. Clair</t>
  </si>
  <si>
    <t>Rattle Run Golf Course</t>
  </si>
  <si>
    <t>East China Township</t>
  </si>
  <si>
    <t>+1 810-329-2070</t>
  </si>
  <si>
    <t>Washtenaw</t>
  </si>
  <si>
    <t>University of Michigan Golf Course</t>
  </si>
  <si>
    <t>Ann Arbor</t>
  </si>
  <si>
    <t>+1 734-615-4653</t>
  </si>
  <si>
    <t>Brookside Golf Course-Saline</t>
  </si>
  <si>
    <t>Saline</t>
  </si>
  <si>
    <t>+1 734-429-4276</t>
  </si>
  <si>
    <t>Eagle Crest Golf Club</t>
  </si>
  <si>
    <t>Ypsilanti</t>
  </si>
  <si>
    <t>+1 734-487-2441</t>
  </si>
  <si>
    <t>Green Oaks Golf Course</t>
  </si>
  <si>
    <t>+1 734-485-0881</t>
  </si>
  <si>
    <t>Huron Hills Golf Course</t>
  </si>
  <si>
    <t>+1 734-794-6246</t>
  </si>
  <si>
    <t>Lake Forest Golf Club</t>
  </si>
  <si>
    <t>+1 734-994-8580</t>
  </si>
  <si>
    <t>Leslie Park Golf Course</t>
  </si>
  <si>
    <t>+1 734-794-6245</t>
  </si>
  <si>
    <t>Pine View Golf Course</t>
  </si>
  <si>
    <t>+1 734-481-0500</t>
  </si>
  <si>
    <t>Stonebridge Golf Club</t>
  </si>
  <si>
    <t>+1 734-429-8383</t>
  </si>
  <si>
    <t>Washtenaw Golf Club</t>
  </si>
  <si>
    <t>+1 734-434-2150</t>
  </si>
  <si>
    <t>Country Club of Detroit</t>
  </si>
  <si>
    <t>Grosse Pointe Farms</t>
  </si>
  <si>
    <t>Wayne</t>
  </si>
  <si>
    <t>Dearborn Country Club</t>
  </si>
  <si>
    <t>Dearborn</t>
  </si>
  <si>
    <t>Detroit Golf Club</t>
  </si>
  <si>
    <t>Detroit</t>
  </si>
  <si>
    <t>+1 313-345-4400</t>
  </si>
  <si>
    <t>1916</t>
  </si>
  <si>
    <t>Grosse Pointe Club (Little Club)</t>
  </si>
  <si>
    <t>Lochmoor Club</t>
  </si>
  <si>
    <t>Grosse Pointe Woods</t>
  </si>
  <si>
    <t>TPC Michigan</t>
  </si>
  <si>
    <t>+1 313-436-3000</t>
  </si>
  <si>
    <t>1990</t>
  </si>
  <si>
    <t>West Shore Golf &amp; Country Club</t>
  </si>
  <si>
    <t>Grosse Ile Township</t>
  </si>
  <si>
    <t>Fellows Creek Golf Club</t>
  </si>
  <si>
    <t>Canton Township</t>
  </si>
  <si>
    <t>Lake Erie Metropark Golf Course</t>
  </si>
  <si>
    <t>Brownstown Township</t>
  </si>
  <si>
    <t>Pheasant Run Golf Club</t>
  </si>
  <si>
    <t>Riverview Highlands Golf Course</t>
  </si>
  <si>
    <t>Riverview</t>
  </si>
  <si>
    <t>Western Golf &amp; Country Club</t>
  </si>
  <si>
    <t>Redford Township</t>
  </si>
  <si>
    <t>+1 313-531-1240</t>
  </si>
  <si>
    <t>Wyandotte Shores Golf Course</t>
  </si>
  <si>
    <t>Wyandotte</t>
  </si>
  <si>
    <t>Mack Mayfield Municipal Golf Course</t>
  </si>
  <si>
    <t>Westland</t>
  </si>
  <si>
    <t>Southgate</t>
  </si>
  <si>
    <t>Chandler Park Golf Course</t>
  </si>
  <si>
    <t>+1 313-331-7755</t>
  </si>
  <si>
    <t>Fox Creek Golf Course</t>
  </si>
  <si>
    <t>Livonia</t>
  </si>
  <si>
    <t>+1 248-471-3400</t>
  </si>
  <si>
    <t>Glenhurst Golf Course</t>
  </si>
  <si>
    <t>+1 313-592-8758</t>
  </si>
  <si>
    <t>1936</t>
  </si>
  <si>
    <t>Idyl Wyld Golf Course</t>
  </si>
  <si>
    <t>+1 734-464-6325</t>
  </si>
  <si>
    <t>Lakes of Taylor Golf Course</t>
  </si>
  <si>
    <t>Taylor</t>
  </si>
  <si>
    <t>+1 734-287-2100</t>
  </si>
  <si>
    <t>Rouge Park Golf Course</t>
  </si>
  <si>
    <t>+1 313-837-5900</t>
  </si>
  <si>
    <t>Warren Valley Golf Course</t>
  </si>
  <si>
    <t>Dearborn Heights</t>
  </si>
  <si>
    <t>+1 313-989-0135</t>
  </si>
  <si>
    <t>Whispering Willows Golf Course</t>
  </si>
  <si>
    <t>+1 248-476-4493</t>
  </si>
  <si>
    <t>Grosse Ile Golf &amp; Country Club</t>
  </si>
  <si>
    <t>Bushwood Golf Course</t>
  </si>
  <si>
    <t>Northville</t>
  </si>
  <si>
    <t>Wayne*</t>
  </si>
  <si>
    <t>Fox Hills Golf &amp; Banquet Center</t>
  </si>
  <si>
    <t>Plymouth</t>
  </si>
  <si>
    <t>+1 734-453-7272</t>
  </si>
  <si>
    <t>Hilltop Golf Course</t>
  </si>
  <si>
    <t>+1 734-453-9800</t>
  </si>
  <si>
    <t>Northville Hills Golf Club</t>
  </si>
  <si>
    <t>+1 734-667-4653</t>
  </si>
  <si>
    <t>2000</t>
  </si>
  <si>
    <t>course_id</t>
  </si>
  <si>
    <t>name</t>
  </si>
  <si>
    <t>county (auto)</t>
  </si>
  <si>
    <t>address</t>
  </si>
  <si>
    <t>latitude</t>
  </si>
  <si>
    <t>longitude</t>
  </si>
  <si>
    <t>place_id</t>
  </si>
  <si>
    <t>type_provisional VERIFY</t>
  </si>
  <si>
    <t>holes</t>
  </si>
  <si>
    <t>par</t>
  </si>
  <si>
    <t>architect</t>
  </si>
  <si>
    <t>mgmt_company</t>
  </si>
  <si>
    <t>usga_course_rating</t>
  </si>
  <si>
    <t>usga_slope</t>
  </si>
  <si>
    <t>yardage_back_tees</t>
  </si>
  <si>
    <t>price_tier_PROVISIONAL</t>
  </si>
  <si>
    <t>GC001</t>
  </si>
  <si>
    <t>8768 N Territorial Rd, Plymouth, MI 48170</t>
  </si>
  <si>
    <t>ChIJjWOjHaaqPIgR12NC271dU8E</t>
  </si>
  <si>
    <t>Arthur Hills</t>
  </si>
  <si>
    <t>Heritage Golf Group</t>
  </si>
  <si>
    <t>Golden Fox (rated course); 63 holes total/3 courses; back-tee rating</t>
  </si>
  <si>
    <t>Premium (est)</t>
  </si>
  <si>
    <t>GC002</t>
  </si>
  <si>
    <t>15565 Bay Hill Dr, Northville, MI 48168</t>
  </si>
  <si>
    <t>ChIJO_OAko-sJIgRdCwWBiYnM-Q</t>
  </si>
  <si>
    <t>Arnold Palmer/Ed Seay</t>
  </si>
  <si>
    <t>Wilson Golf Group</t>
  </si>
  <si>
    <t>back-tee; GolfPass lists 73.0/138</t>
  </si>
  <si>
    <t>GC003</t>
  </si>
  <si>
    <t>50395 W 10 Mile Rd, Novi, MI 48374</t>
  </si>
  <si>
    <t>ChIJZ1YbznapJIgRBi7bF39kAlk</t>
  </si>
  <si>
    <t>Mid (est)</t>
  </si>
  <si>
    <t>GC004</t>
  </si>
  <si>
    <t>47000 Powell Rd, Plymouth, MI 48170</t>
  </si>
  <si>
    <t>ChIJHxAyAlVTO4gRcKM_JlD_JQY</t>
  </si>
  <si>
    <t>Value (est)</t>
  </si>
  <si>
    <t>GC005</t>
  </si>
  <si>
    <t>37777 11 Mile Ct, Farmington Hills, MI 48335</t>
  </si>
  <si>
    <t>ChIJGVHo4yuwJIgRm4dX5W1PEgo</t>
  </si>
  <si>
    <t>GC006</t>
  </si>
  <si>
    <t>31260 Wakefield Dr, Novi, MI 48377</t>
  </si>
  <si>
    <t>ChIJtQo7UXmlJIgReC8qeci1x5s</t>
  </si>
  <si>
    <t>GC007</t>
  </si>
  <si>
    <t>27925 Golf Pointe Blvd, Farmington Hills, MI 48331</t>
  </si>
  <si>
    <t>ChIJPWtD7RSvJIgRhngiR9Lzris</t>
  </si>
  <si>
    <t>GC008</t>
  </si>
  <si>
    <t>30500 W 13 Mile Rd, Farmington Hills, MI 48334</t>
  </si>
  <si>
    <t>ChIJfbuszAu6JIgRkQv3A5yLIqA</t>
  </si>
  <si>
    <t>GC009</t>
  </si>
  <si>
    <t>36000 7 Mile, Livonia, MI 48152</t>
  </si>
  <si>
    <t>ChIJf9Olgj2yJIgR88LX0eoZBtY</t>
  </si>
  <si>
    <t>GC010</t>
  </si>
  <si>
    <t>20500 Newburgh Rd, Livonia, MI 48152</t>
  </si>
  <si>
    <t>ChIJv4yllhyyJIgRebVlXt8UjeI</t>
  </si>
  <si>
    <t>GC011</t>
  </si>
  <si>
    <t>25345 W 6 Mile Rd, Redford Township, MI 48240</t>
  </si>
  <si>
    <t>ChIJHR6597S1JIgR6e75-64nhWY</t>
  </si>
  <si>
    <t>GC012</t>
  </si>
  <si>
    <t>14600 Kinloch St, Redford Township, MI 48239</t>
  </si>
  <si>
    <t>ChIJKQ2AIFa0JIgR3ZOV_aXnOqI</t>
  </si>
  <si>
    <t>VERIFY</t>
  </si>
  <si>
    <t>Private (verify)</t>
  </si>
  <si>
    <t>GC013</t>
  </si>
  <si>
    <t>35786 Five Mile Rd, Livonia, MI 48154</t>
  </si>
  <si>
    <t>ChIJ82OfVF-yJIgRaJJ7Y7hw02w</t>
  </si>
  <si>
    <t>GC014</t>
  </si>
  <si>
    <t>26140 W Warren St, Dearborn Heights, MI 48127</t>
  </si>
  <si>
    <t>ChIJd3oD0SZLO4gRJsgS8aTAtlA</t>
  </si>
  <si>
    <t>GC015</t>
  </si>
  <si>
    <t>1 Nicklaus Dr, Dearborn, MI 48120</t>
  </si>
  <si>
    <t>ChIJQaXCU1o0O4gR4ip3rVHm5Zo</t>
  </si>
  <si>
    <t>Jack Nicklaus</t>
  </si>
  <si>
    <t>Invited (ClubCorp)</t>
  </si>
  <si>
    <t>private (resolved from VERIFY)</t>
  </si>
  <si>
    <t>GC016</t>
  </si>
  <si>
    <t>21631 Lahser Rd, Southfield, MI 48033</t>
  </si>
  <si>
    <t>ChIJEy7sqz22JIgRx4KqgGwskkw</t>
  </si>
  <si>
    <t>GC017</t>
  </si>
  <si>
    <t>11701 Burt Rd, Detroit, MI 48228</t>
  </si>
  <si>
    <t>ChIJVYlUQZ_KJIgRQIqLn-QWCgI</t>
  </si>
  <si>
    <t>Mid (fee)</t>
  </si>
  <si>
    <t>GC018</t>
  </si>
  <si>
    <t>12801 Chandler Park Dr, Detroit, MI 48213</t>
  </si>
  <si>
    <t>ChIJm7--0gHVJIgRPEa6H5uVJF4</t>
  </si>
  <si>
    <t>GC019</t>
  </si>
  <si>
    <t>26000 Evergreen Rd, Southfield, MI 48076</t>
  </si>
  <si>
    <t>ChIJ906KSTvIJIgRZJwIT0kVhM0</t>
  </si>
  <si>
    <t>GC020</t>
  </si>
  <si>
    <t>10100 W 10 Mile Rd, Huntington Woods, MI 48070</t>
  </si>
  <si>
    <t>ChIJSd7SN33JJIgR4jhl_87GeUA</t>
  </si>
  <si>
    <t>GC021</t>
  </si>
  <si>
    <t>25505 Northline Rd, Taylor, MI 48180</t>
  </si>
  <si>
    <t>ChIJ8xEkxWVIO4gRYWuosy1hGe4</t>
  </si>
  <si>
    <t>GC022</t>
  </si>
  <si>
    <t>17911 Hamilton Rd, Detroit, MI 48203</t>
  </si>
  <si>
    <t>ChIJbTJlSoDOJIgRkRStx64bV5M</t>
  </si>
  <si>
    <t>Donald Ross</t>
  </si>
  <si>
    <t>North course; 36 holes; club est. 1899</t>
  </si>
  <si>
    <t>GC023</t>
  </si>
  <si>
    <t>2666 W 14 Mile Rd, Birmingham, MI 48009</t>
  </si>
  <si>
    <t>ChIJRaFGdInHJIgRCYMHNuZs6wQ</t>
  </si>
  <si>
    <t>GC024</t>
  </si>
  <si>
    <t>1825 Clubhouse Dr, Ann Arbor, MI 48108</t>
  </si>
  <si>
    <t>ChIJkTJkerO6PIgRwUnVaV_Hbcc</t>
  </si>
  <si>
    <t>independent (co-owner GM)</t>
  </si>
  <si>
    <t>back-tee; slope 131-135 varies by source</t>
  </si>
  <si>
    <t>GC025</t>
  </si>
  <si>
    <t>3465 E Huron River Dr, Ann Arbor, MI 48104</t>
  </si>
  <si>
    <t>ChIJ2Q0y3NyuPIgRR7_UGrj7EYg</t>
  </si>
  <si>
    <t>GC026</t>
  </si>
  <si>
    <t>2120 Traver Rd, Ann Arbor, MI 48105</t>
  </si>
  <si>
    <t>ChIJtbFvo9OtPIgRmJaBmysLZXI</t>
  </si>
  <si>
    <t>GC027</t>
  </si>
  <si>
    <t>2955 Packard St, Ypsilanti, MI 48197</t>
  </si>
  <si>
    <t>ChIJtyZlRMKoPIgRtS6VGN8A8Us</t>
  </si>
  <si>
    <t>GC028</t>
  </si>
  <si>
    <t>500 E Stadium Blvd, Ann Arbor, MI 48104</t>
  </si>
  <si>
    <t>ChIJvfjVlMuvPIgR43RxgKMGHVU</t>
  </si>
  <si>
    <t>GC029</t>
  </si>
  <si>
    <t>1201 S Huron St, Ypsilanti, MI 48197</t>
  </si>
  <si>
    <t>ChIJFfHKCnKoPIgRZ160_Hi5t6U</t>
  </si>
  <si>
    <t>GC030</t>
  </si>
  <si>
    <t>3110 W Ellsworth Rd, Ann Arbor, MI 48103</t>
  </si>
  <si>
    <t>ChIJ7SEgl3OwPIgRGEfFqSYHRi4</t>
  </si>
  <si>
    <t>GC031</t>
  </si>
  <si>
    <t>1775 E Clark Rd, Ypsilanti, MI 48198</t>
  </si>
  <si>
    <t>ChIJz3oFXjZWO4gR9_Azug-jmA0</t>
  </si>
  <si>
    <t>GC032</t>
  </si>
  <si>
    <t>5820 Stony Creek Rd, Ypsilanti, MI 48197</t>
  </si>
  <si>
    <t>ChIJLUqD-cSnPIgRF913Oxgko-w</t>
  </si>
  <si>
    <t>GC033</t>
  </si>
  <si>
    <t>6451 Ann Arbor-Saline Rd, Saline, MI 48176</t>
  </si>
  <si>
    <t>ChIJA-slXvu6PIgRF6YxJOoGa9I</t>
  </si>
  <si>
    <t>GC034</t>
  </si>
  <si>
    <t>2036 S Rochester Rd, Royal Oak, MI 48073</t>
  </si>
  <si>
    <t>ChIJ2zC28Y7FJIgRu9j7lDL1Azc</t>
  </si>
  <si>
    <t>GC035</t>
  </si>
  <si>
    <t>1960 Stonycroft Ln, Bloomfield Hills, MI 48304</t>
  </si>
  <si>
    <t>ChIJP0kcOazAJIgRTonCavOrAxk</t>
  </si>
  <si>
    <t>GC036</t>
  </si>
  <si>
    <t>350 W Long Lake Rd, Bloomfield Hills, MI 48304</t>
  </si>
  <si>
    <t>ChIJO-NnK6q4JIgRsMEDTVhrT3s</t>
  </si>
  <si>
    <t>Harry Colt</t>
  </si>
  <si>
    <t>GC037</t>
  </si>
  <si>
    <t>1975 W Gunn Rd, Rochester Hills, MI 48306</t>
  </si>
  <si>
    <t>ChIJXePi5vbrJIgRUzyCv4pMgPc</t>
  </si>
  <si>
    <t>GC038</t>
  </si>
  <si>
    <t>ChIJV4SrzAu6JIgRjZ5wfSvA6iE</t>
  </si>
  <si>
    <t>GC039</t>
  </si>
  <si>
    <t>5050 W Maple Rd, West Bloomfield Township, MI 48322</t>
  </si>
  <si>
    <t>ChIJLWazkJu5JIgRgMxeunHnEYM</t>
  </si>
  <si>
    <t>GC040</t>
  </si>
  <si>
    <t>3951 W Maple Rd, Bloomfield Hills, MI 48301</t>
  </si>
  <si>
    <t>ChIJydIChme4JIgROzF-VAEpMo8</t>
  </si>
  <si>
    <t>South course; 36 holes; major-championship venue</t>
  </si>
  <si>
    <t>GC041</t>
  </si>
  <si>
    <t>5000 W Shore Dr, West Bloomfield Township, MI 48324</t>
  </si>
  <si>
    <t>ChIJWbzA-G-7JIgRg96_RHKrrsA</t>
  </si>
  <si>
    <t>GC042</t>
  </si>
  <si>
    <t>3300 Pine Lake Rd, West Bloomfield Township, MI 48324</t>
  </si>
  <si>
    <t>ChIJL8LCHgS8JIgRRRSzUryME34</t>
  </si>
  <si>
    <t>GC043</t>
  </si>
  <si>
    <t>48787 North Ave, Macomb, MI 48042</t>
  </si>
  <si>
    <t>ChIJewmeFJEfJYgROV6VMmmO4E8</t>
  </si>
  <si>
    <t>GC044</t>
  </si>
  <si>
    <t>49001 North Ave, Macomb, MI 48042</t>
  </si>
  <si>
    <t>ChIJ_8zEXJMfJYgRuxVIaxcHROg</t>
  </si>
  <si>
    <t>GC045</t>
  </si>
  <si>
    <t>18215 24 Mile Rd, Macomb, MI 48042</t>
  </si>
  <si>
    <t>ChIJO76uZ63hJIgRShIywjmK_BQ</t>
  </si>
  <si>
    <t>GC046</t>
  </si>
  <si>
    <t>7163 St Clair Hwy, East China Township, MI 48054</t>
  </si>
  <si>
    <t>ChIJuyuZ6Z8NJYgRPs8qMwAMw0g</t>
  </si>
  <si>
    <t>GC047</t>
  </si>
  <si>
    <t>52000 Cherry Creek Dr, Shelby Township, MI 48316</t>
  </si>
  <si>
    <t>ChIJf0h2FBHnJIgRTPuveGYdpH4</t>
  </si>
  <si>
    <t>GC048</t>
  </si>
  <si>
    <t>62900 Campground Rd, Washington, MI 48094</t>
  </si>
  <si>
    <t>ChIJXTgpd7XlJIgRYagZ1MP2S-A</t>
  </si>
  <si>
    <t>Premium (fee)</t>
  </si>
  <si>
    <t>GC049</t>
  </si>
  <si>
    <t>23650 23 Mile Rd, Macomb, MI 48042</t>
  </si>
  <si>
    <t>ChIJyVsqpqUfJYgREAlPXV1Ooss</t>
  </si>
  <si>
    <t>Value (fee)</t>
  </si>
  <si>
    <t>GC050</t>
  </si>
  <si>
    <t>6771 Taft Rd, Bruce Township, MI 48065</t>
  </si>
  <si>
    <t>ChIJMek7sML6JIgRHxm0I5M3RPw</t>
  </si>
  <si>
    <t>GC051</t>
  </si>
  <si>
    <t>22871 21 Mile Rd, Macomb, MI 48044</t>
  </si>
  <si>
    <t>ChIJ6X41f4wfJYgRMs7Gc_VGylg</t>
  </si>
  <si>
    <t>GC052</t>
  </si>
  <si>
    <t>3100 McKail Rd, Bruce Township, MI 48065</t>
  </si>
  <si>
    <t>ChIJK4Ir3K_wJIgRNeO0HwbvQF8</t>
  </si>
  <si>
    <t>GC053</t>
  </si>
  <si>
    <t>5725 Rochester Rd, Troy, MI 48085</t>
  </si>
  <si>
    <t>ChIJ5zKVhKPDJIgRItvnfuErHJ0</t>
  </si>
  <si>
    <t>GC054</t>
  </si>
  <si>
    <t>1450 E South Blvd, Troy, MI 48084</t>
  </si>
  <si>
    <t>ChIJnaBDeuDCJIgRFumVlEV4xMY</t>
  </si>
  <si>
    <t>GC055</t>
  </si>
  <si>
    <t>3600 Pine Trace Blvd, Rochester Hills, MI 48309</t>
  </si>
  <si>
    <t>ChIJnaH4sqfBJIgRwtI87XsNE1s</t>
  </si>
  <si>
    <t>GC056</t>
  </si>
  <si>
    <t>2600 Club Dr, Rochester Hills, MI 48307</t>
  </si>
  <si>
    <t>ChIJx7QgB4nCJIgRk8VPJXI-G74</t>
  </si>
  <si>
    <t>GC057</t>
  </si>
  <si>
    <t>2401 Golfview Dr, Troy, MI 48084</t>
  </si>
  <si>
    <t>ChIJ76pRq5bGJIgRMDfFf4JX1EQ</t>
  </si>
  <si>
    <t>course_name</t>
  </si>
  <si>
    <t>segment</t>
  </si>
  <si>
    <t>cart</t>
  </si>
  <si>
    <t>resident_status</t>
  </si>
  <si>
    <t>green_fee</t>
  </si>
  <si>
    <t>snapshot_date</t>
  </si>
  <si>
    <t>source_url</t>
  </si>
  <si>
    <t>Fox Hills (EXAMPLE ROW – delete)</t>
  </si>
  <si>
    <t>Weekend</t>
  </si>
  <si>
    <t>18</t>
  </si>
  <si>
    <t>Riding</t>
  </si>
  <si>
    <t>Non-resident</t>
  </si>
  <si>
    <t>2026-07-28</t>
  </si>
  <si>
    <t>https://course-website/rates</t>
  </si>
  <si>
    <t>Weekday</t>
  </si>
  <si>
    <t>Twilight</t>
  </si>
  <si>
    <t>Not published online (aggregator: call course to confirm)</t>
  </si>
  <si>
    <t>2026 season</t>
  </si>
  <si>
    <t>rouge.golf/course-rates (official)</t>
  </si>
  <si>
    <t>chandler.golf/course-rates (official, Troon)</t>
  </si>
  <si>
    <t>Detroit Parks/Troon system — Rouge &amp; Chandler both $40/$50 ride; confirm Rackham</t>
  </si>
  <si>
    <t>2026-04-24</t>
  </si>
  <si>
    <t>GreenFeeTracker (aggregator, VERIFY)</t>
  </si>
  <si>
    <t>Metro Detroit Golf Course Competitive Scan — data collection workbook</t>
  </si>
  <si>
    <t>Generated 2026-07-28 · 57 courses · Wayne / Oakland / Macomb / Washtenaw / St. Clair</t>
  </si>
  <si>
    <t>WHAT'S POPULATED (hard data, Google Places API):</t>
  </si>
  <si>
    <t>name, city, address, latitude, longitude, google_rating, google_reviews, phone, place_id.</t>
  </si>
  <si>
    <t>These are pulled and verified from Google. google_rating = customer satisfaction (0–5); it is NOT course difficulty.</t>
  </si>
  <si>
    <t>WHAT YOU FILL IN (yellow cells):</t>
  </si>
  <si>
    <t>Courses sheet: holes, par, year_built, architect, mgmt_company, usga_course_rating, usga_slope, yardage_back_tees, notes.</t>
  </si>
  <si>
    <t>GreenFees sheet: green_fee, snapshot_date, source_url — one row per course × price segment.</t>
  </si>
  <si>
    <t>PROVISIONAL / UNVERIFIED (verify before using):</t>
  </si>
  <si>
    <t>• county (auto) is derived from mailing city. Cells flagged with * are border cases — Northville and Plymouth</t>
  </si>
  <si>
    <t xml:space="preserve">  straddle Wayne/Oakland/Washtenaw lines. Spot-check these.</t>
  </si>
  <si>
    <t>• type_provisional (peach cells) is my best guess from Google metadata + review language, NOT confirmed.</t>
  </si>
  <si>
    <t xml:space="preserve">  'Private' = likely members-only (no public green fees — excluded from the GreenFees scaffold).</t>
  </si>
  <si>
    <t xml:space="preserve">  'VERIFY' = ambiguous (semi-private / resort / university). 'Private/dup?' = Glen Oaks CC may be the same</t>
  </si>
  <si>
    <t xml:space="preserve">  property as the Glen Oaks Golf Course muni entry — confirm they aren't a duplicate.</t>
  </si>
  <si>
    <t>DATA SOURCES FOR THE MANUAL COLUMNS:</t>
  </si>
  <si>
    <t>• USGA course/slope rating + yardage: USGA National Course Rating Database — https://ncrdb.usga.org</t>
  </si>
  <si>
    <t xml:space="preserve">  (public, free, searchable by course; no API — look up each course).</t>
  </si>
  <si>
    <t>• Green fees: individual course websites and GolfNow listings. No public/free pricing API exists.</t>
  </si>
  <si>
    <t>• Holes / architect / year / mgmt company: course websites, Golf Association of Michigan, Wikipedia.</t>
  </si>
  <si>
    <t>METHOD NOTES:</t>
  </si>
  <si>
    <t>• Pricing is seasonal and often dynamic. Record snapshot_date on every green-fee row so the dashboard</t>
  </si>
  <si>
    <t xml:space="preserve">  can state 'rates as of &lt;date&gt;'. Don't mix rates collected weeks apart without dating them.</t>
  </si>
  <si>
    <t>• Keep difficulty (slope/rating) and satisfaction (google_rating) as SEPARATE axes. A hard course is not</t>
  </si>
  <si>
    <t xml:space="preserve">  a 'better' course. Blending them into one 'quality' score hides which one is driving the position.</t>
  </si>
  <si>
    <t>• Private courses are included for market context but will have gaps in the pricing axis.</t>
  </si>
  <si>
    <t>• Suggested hero visual: price (x) vs. google_rating (y), bubble = google_reviews, color = type,</t>
  </si>
  <si>
    <t xml:space="preserve">  quadrant lines at the regional median.</t>
  </si>
  <si>
    <t>type</t>
  </si>
  <si>
    <t>verified fee on file — spot-check only</t>
  </si>
  <si>
    <t>Golf Course</t>
  </si>
  <si>
    <t>Highest/Championship Tee Slope</t>
  </si>
  <si>
    <t>Standard/Forward Tee Slope</t>
  </si>
  <si>
    <t>N/A</t>
  </si>
  <si>
    <t>NA</t>
  </si>
  <si>
    <t>Dearborn Hills</t>
  </si>
  <si>
    <t>Meadowbrook Country Club</t>
  </si>
  <si>
    <t>The Cardinal</t>
  </si>
  <si>
    <t>Plymouth Township</t>
  </si>
  <si>
    <t>Willow Metropark Golf Course</t>
  </si>
  <si>
    <t>New Boston</t>
  </si>
  <si>
    <t>Inkster</t>
  </si>
  <si>
    <t>Gateway Golf Club</t>
  </si>
  <si>
    <t>Romulus</t>
  </si>
  <si>
    <t>Brae Burn Golf Club</t>
  </si>
  <si>
    <t>Woodside Meadows</t>
  </si>
  <si>
    <t>Glen Oaks</t>
  </si>
  <si>
    <t>Shenandoah Country Club</t>
  </si>
  <si>
    <t>Tam O'shanter Country Club</t>
  </si>
  <si>
    <t>Grosse Ile</t>
  </si>
  <si>
    <t>*Golf pass rating used when Google rating unavailable</t>
  </si>
  <si>
    <t>*Semi-private is identified as public</t>
  </si>
  <si>
    <t>Romeo Golf &amp; Country Club</t>
  </si>
  <si>
    <t>Red Oaks Golf Course</t>
  </si>
  <si>
    <t>Madison Heights</t>
  </si>
  <si>
    <t>SouthWinds Golf Course</t>
  </si>
  <si>
    <t>Slope Rating</t>
  </si>
  <si>
    <t>Scalawags Golf Club</t>
  </si>
  <si>
    <t>Golf pic or a data pic or somehow both</t>
  </si>
  <si>
    <t>Scatter Google Review vs. Slope Rating</t>
  </si>
  <si>
    <t>Public course breakout</t>
  </si>
  <si>
    <t>Private course breakout</t>
  </si>
  <si>
    <t>Rank of hardest courses public/private</t>
  </si>
  <si>
    <t>Relationship between review # and slope or review # and rating</t>
  </si>
  <si>
    <t>Top 5 Google Review public/private</t>
  </si>
  <si>
    <t>Top 5 most reviewed public/private</t>
  </si>
  <si>
    <t>Endnotes/Caveats</t>
  </si>
  <si>
    <t>County course breakout</t>
  </si>
  <si>
    <t>Map of the courses -&gt; where could I live in metro Detroit and be within 15 minutes/the most golf courses public/private</t>
  </si>
  <si>
    <t>VERIFY - Google listing shows possibly closed</t>
  </si>
  <si>
    <t>CLOSED per Google reviews</t>
  </si>
  <si>
    <t>Katke-Cousins Golf Course</t>
  </si>
  <si>
    <t>Coords from pro shop listing - accurate location</t>
  </si>
  <si>
    <t>Tam O'Shanter Country Club</t>
  </si>
  <si>
    <t>Downing Farms Golf Course</t>
  </si>
  <si>
    <t>Water's Edge Golf Course</t>
  </si>
  <si>
    <t>Address is Northville but course is in Washtenaw County</t>
  </si>
  <si>
    <t>Salem Hills Golf Club</t>
  </si>
  <si>
    <t>Coords from clubhouse/restaurant listing</t>
  </si>
  <si>
    <t>Taylor Meadows Golf Club</t>
  </si>
  <si>
    <t>Inkster Valley Golf Course</t>
  </si>
  <si>
    <t>Dearborn Hills Golf Course</t>
  </si>
  <si>
    <t>Maple Lane Golf Club</t>
  </si>
  <si>
    <t>Tanglewood Golf Club</t>
  </si>
  <si>
    <t>Marsh Oaks Golf Club</t>
  </si>
  <si>
    <t>Gowanie</t>
  </si>
  <si>
    <t>Greystone</t>
  </si>
  <si>
    <t>Rammler</t>
  </si>
  <si>
    <t>Selfridge</t>
  </si>
  <si>
    <t>Cracklewood</t>
  </si>
  <si>
    <t>Edgewood</t>
  </si>
  <si>
    <t>Knollwood</t>
  </si>
  <si>
    <t>Oakhurst</t>
  </si>
  <si>
    <t>Shenandoah</t>
  </si>
  <si>
    <t>Katke-Cousins</t>
  </si>
  <si>
    <t>Blackheath</t>
  </si>
  <si>
    <t>Brentwood</t>
  </si>
  <si>
    <t>Coyote</t>
  </si>
  <si>
    <t>Springdale</t>
  </si>
  <si>
    <t>Somerset</t>
  </si>
  <si>
    <t>SouthWinds</t>
  </si>
  <si>
    <t>Glenhurst</t>
  </si>
  <si>
    <t>Bee Tee</t>
  </si>
  <si>
    <t>Cedar Glen</t>
  </si>
  <si>
    <t>Fern Hill</t>
  </si>
  <si>
    <t>Maple Lane</t>
  </si>
  <si>
    <t>Marsh Oaks</t>
  </si>
  <si>
    <t>Pine Valley</t>
  </si>
  <si>
    <t>Plum Brook</t>
  </si>
  <si>
    <t>Stony Creek</t>
  </si>
  <si>
    <t>Warfield Greens</t>
  </si>
  <si>
    <t>Bello Woods</t>
  </si>
  <si>
    <t>Bruce Hills</t>
  </si>
  <si>
    <t>Cherry Creek</t>
  </si>
  <si>
    <t>Heather Hills</t>
  </si>
  <si>
    <t>Hickory Hollow</t>
  </si>
  <si>
    <t>Sycamore Hills</t>
  </si>
  <si>
    <t>The Orchards</t>
  </si>
  <si>
    <t>Forest Lake</t>
  </si>
  <si>
    <t>Franklin Hills</t>
  </si>
  <si>
    <t>Great Oaks</t>
  </si>
  <si>
    <t>Heathers Club</t>
  </si>
  <si>
    <t>Oakland Hills</t>
  </si>
  <si>
    <t>Orchard Lake</t>
  </si>
  <si>
    <t>Pine Lake</t>
  </si>
  <si>
    <t>Plum Hollow</t>
  </si>
  <si>
    <t>Red Run</t>
  </si>
  <si>
    <t>Stonycroft Hills</t>
  </si>
  <si>
    <t>The Wyndgate</t>
  </si>
  <si>
    <t>Walnut Creek</t>
  </si>
  <si>
    <t>Paint Creek</t>
  </si>
  <si>
    <t>Prestwick Village</t>
  </si>
  <si>
    <t>Tam O'shanter</t>
  </si>
  <si>
    <t xml:space="preserve">Brookwood </t>
  </si>
  <si>
    <t>Bay Pointe</t>
  </si>
  <si>
    <t>Beacon Hill</t>
  </si>
  <si>
    <t>Boulder Pointe</t>
  </si>
  <si>
    <t>Copper Hills</t>
  </si>
  <si>
    <t>Heather Highlands</t>
  </si>
  <si>
    <t>Highland Hills</t>
  </si>
  <si>
    <t>Indian Springs</t>
  </si>
  <si>
    <t>Lyon Oaks</t>
  </si>
  <si>
    <t>Mystic Creek</t>
  </si>
  <si>
    <t>Oxford Hills</t>
  </si>
  <si>
    <t>Pine Knob</t>
  </si>
  <si>
    <t>Shepherd's Hollow</t>
  </si>
  <si>
    <t>Silver Lake</t>
  </si>
  <si>
    <t>Springfield Oaks</t>
  </si>
  <si>
    <t>The Links</t>
  </si>
  <si>
    <t>Hickory Hill</t>
  </si>
  <si>
    <t>Little Myth</t>
  </si>
  <si>
    <t>Copper Creek</t>
  </si>
  <si>
    <t>Evergreen Hills</t>
  </si>
  <si>
    <t>Lincoln Hills</t>
  </si>
  <si>
    <t>Maples Golf</t>
  </si>
  <si>
    <t>Pine Trace</t>
  </si>
  <si>
    <t>Sanctuary Lake</t>
  </si>
  <si>
    <t>Sylvan Glen</t>
  </si>
  <si>
    <t>Red Oaks</t>
  </si>
  <si>
    <t>Twin Lakes</t>
  </si>
  <si>
    <t>Grosse Pointe</t>
  </si>
  <si>
    <t>West Shore</t>
  </si>
  <si>
    <t>Fellows Creek</t>
  </si>
  <si>
    <t>Lake Erie</t>
  </si>
  <si>
    <t>Pheasant Run</t>
  </si>
  <si>
    <t>Riverview Highlands</t>
  </si>
  <si>
    <t>Wyandotte Shores</t>
  </si>
  <si>
    <t>Mack Mayfield</t>
  </si>
  <si>
    <t>Chandler Park</t>
  </si>
  <si>
    <t>Fox Creek</t>
  </si>
  <si>
    <t>Idyl Wyld</t>
  </si>
  <si>
    <t>Rouge Park</t>
  </si>
  <si>
    <t>Warren Valley</t>
  </si>
  <si>
    <t>Whispering Willows</t>
  </si>
  <si>
    <t>Willow Metropark</t>
  </si>
  <si>
    <t>Inkster Valley</t>
  </si>
  <si>
    <t>Taylor Meadows</t>
  </si>
  <si>
    <t>Brae Burn</t>
  </si>
  <si>
    <t>Salem Hills</t>
  </si>
  <si>
    <t>Water's Edge</t>
  </si>
  <si>
    <t>Downing Farms</t>
  </si>
  <si>
    <t>Fox Hills</t>
  </si>
  <si>
    <t>Northville Hills</t>
  </si>
  <si>
    <t>Lookup</t>
  </si>
  <si>
    <t>White Lake Oaks</t>
  </si>
  <si>
    <t xml:space="preserve">Golf Course </t>
  </si>
  <si>
    <t>Golf Club</t>
  </si>
  <si>
    <t>Mystic Creek Golf Club</t>
  </si>
  <si>
    <t>Whispering WillowsGolf Course</t>
  </si>
  <si>
    <t>Fountains</t>
  </si>
  <si>
    <t>Gateway</t>
  </si>
  <si>
    <t>Indianwood</t>
  </si>
  <si>
    <t>Lakes of Taylor</t>
  </si>
  <si>
    <t>Lochmoor</t>
  </si>
  <si>
    <t>Meadowbrook</t>
  </si>
  <si>
    <t>Hampton</t>
  </si>
  <si>
    <t>Rackham</t>
  </si>
  <si>
    <t>Dearborn CC</t>
  </si>
  <si>
    <t>Hilltop</t>
  </si>
  <si>
    <t>Western</t>
  </si>
  <si>
    <t>Bushwood</t>
  </si>
  <si>
    <t>Tanglewood</t>
  </si>
  <si>
    <t>Fieldstone</t>
  </si>
  <si>
    <t>Pontiac CC</t>
  </si>
  <si>
    <t>Myth</t>
  </si>
  <si>
    <t>slope</t>
  </si>
  <si>
    <t>google rating</t>
  </si>
  <si>
    <t>Type</t>
  </si>
  <si>
    <t>courses long</t>
  </si>
  <si>
    <t>courses short</t>
  </si>
  <si>
    <t>Birmingham CC</t>
  </si>
  <si>
    <t>Brookwood</t>
  </si>
  <si>
    <t>Bloomfield Hills CC</t>
  </si>
  <si>
    <t>County</t>
  </si>
  <si>
    <t>Google Review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</si>
</sst>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10"/>
      <color rgb="FF80808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0.5"/>
      <color rgb="FFFFFFFF"/>
      <name val="Aptos"/>
      <family val="2"/>
    </font>
    <font>
      <sz val="10.5"/>
      <color theme="1"/>
      <name val="Aptos"/>
      <family val="2"/>
    </font>
    <font>
      <sz val="10.5"/>
      <name val="Aptos"/>
      <family val="2"/>
    </font>
    <font>
      <b/>
      <sz val="10.5"/>
      <color theme="0"/>
      <name val="Aptos"/>
      <family val="2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EEDA"/>
      </patternFill>
    </fill>
    <fill>
      <patternFill patternType="solid">
        <fgColor rgb="FFE6F1FB"/>
      </patternFill>
    </fill>
    <fill>
      <patternFill patternType="solid">
        <fgColor rgb="FFE1F5EE"/>
      </patternFill>
    </fill>
    <fill>
      <patternFill patternType="solid">
        <fgColor rgb="FFF1EFE8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/>
    <xf numFmtId="0" fontId="2" fillId="0" borderId="1" xfId="0" applyFont="1" applyBorder="1"/>
    <xf numFmtId="0" fontId="2" fillId="3" borderId="1" xfId="0" applyFont="1" applyFill="1" applyBorder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8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9" fillId="0" borderId="2" xfId="0" applyFont="1" applyBorder="1"/>
    <xf numFmtId="0" fontId="8" fillId="0" borderId="0" xfId="0" applyFont="1" applyAlignment="1">
      <alignment horizontal="right"/>
    </xf>
    <xf numFmtId="0" fontId="9" fillId="0" borderId="3" xfId="0" applyFont="1" applyBorder="1"/>
    <xf numFmtId="0" fontId="7" fillId="9" borderId="1" xfId="0" applyFont="1" applyFill="1" applyBorder="1" applyAlignment="1">
      <alignment horizontal="right" vertical="center" wrapText="1"/>
    </xf>
    <xf numFmtId="0" fontId="10" fillId="9" borderId="0" xfId="0" applyFont="1" applyFill="1" applyAlignment="1">
      <alignment horizontal="center" vertical="center"/>
    </xf>
    <xf numFmtId="0" fontId="11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/>
    <xf numFmtId="0" fontId="8" fillId="0" borderId="2" xfId="0" applyFont="1" applyBorder="1"/>
    <xf numFmtId="0" fontId="12" fillId="0" borderId="0" xfId="0" applyFont="1"/>
    <xf numFmtId="0" fontId="12" fillId="0" borderId="0" xfId="0" applyFont="1" applyAlignment="1">
      <alignment horizontal="center"/>
    </xf>
    <xf numFmtId="165" fontId="12" fillId="0" borderId="0" xfId="0" applyNumberFormat="1" applyFont="1"/>
    <xf numFmtId="0" fontId="12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4C24-D400-4120-9208-C78F9935900F}">
  <dimension ref="A1:I129"/>
  <sheetViews>
    <sheetView topLeftCell="A95" workbookViewId="0">
      <selection activeCell="G128" sqref="G128"/>
    </sheetView>
  </sheetViews>
  <sheetFormatPr defaultRowHeight="14.4" x14ac:dyDescent="0.3"/>
  <cols>
    <col min="1" max="1" width="33.6640625" style="33" bestFit="1" customWidth="1"/>
    <col min="2" max="2" width="20.109375" style="36" customWidth="1"/>
    <col min="3" max="3" width="24.33203125" style="36" bestFit="1" customWidth="1"/>
    <col min="4" max="4" width="12" style="34" customWidth="1"/>
    <col min="5" max="5" width="12.88671875" style="34" bestFit="1" customWidth="1"/>
    <col min="6" max="6" width="16.21875" style="34" customWidth="1"/>
    <col min="7" max="7" width="8.88671875" style="34"/>
    <col min="8" max="8" width="12.109375" style="33" bestFit="1" customWidth="1"/>
    <col min="9" max="9" width="12.77734375" style="33" bestFit="1" customWidth="1"/>
    <col min="10" max="16384" width="8.88671875" style="33"/>
  </cols>
  <sheetData>
    <row r="1" spans="1:9" x14ac:dyDescent="0.3">
      <c r="A1" s="37" t="s">
        <v>715</v>
      </c>
      <c r="B1" s="37" t="s">
        <v>716</v>
      </c>
      <c r="C1" s="37" t="s">
        <v>2</v>
      </c>
      <c r="D1" s="37" t="s">
        <v>3</v>
      </c>
      <c r="E1" s="37" t="s">
        <v>714</v>
      </c>
      <c r="F1" s="37" t="s">
        <v>713</v>
      </c>
      <c r="G1" s="37" t="s">
        <v>712</v>
      </c>
      <c r="H1" s="37" t="s">
        <v>279</v>
      </c>
      <c r="I1" s="37" t="s">
        <v>280</v>
      </c>
    </row>
    <row r="2" spans="1:9" x14ac:dyDescent="0.3">
      <c r="A2" s="33" t="s">
        <v>108</v>
      </c>
      <c r="B2" s="36" t="s">
        <v>641</v>
      </c>
      <c r="C2" s="36" t="str">
        <f>VLOOKUP($B2, 'Main Data'!$B$2:$Z$131, 2, FALSE)</f>
        <v>West Bloomfield Township</v>
      </c>
      <c r="D2" t="str">
        <f>VLOOKUP(B2, County!$A$2:$B$131, 2, FALSE)</f>
        <v>Oakland</v>
      </c>
      <c r="E2" s="34" t="str">
        <f>VLOOKUP($B2, 'Main Data'!$B$2:$Z$131, 4, FALSE)</f>
        <v>Public</v>
      </c>
      <c r="F2" s="34">
        <f>VLOOKUP(A2,'Google Ratings'!$A$2:$B$128, 2, FALSE)</f>
        <v>3.9</v>
      </c>
      <c r="G2" s="34">
        <f>VLOOKUP($A2, 'Slope Ratings'!$A$2:$D$150, 3, FALSE)</f>
        <v>121</v>
      </c>
      <c r="H2" s="33">
        <f>VLOOKUP($A2, 'course_coordinates (1)'!$A$2:$D$145, 4, FALSE)</f>
        <v>42.582023599999999</v>
      </c>
      <c r="I2" s="35">
        <f>VLOOKUP($A2, 'course_coordinates (1)'!$A$2:$G$145, 5, FALSE)</f>
        <v>-83.439877199999998</v>
      </c>
    </row>
    <row r="3" spans="1:9" x14ac:dyDescent="0.3">
      <c r="A3" s="33" t="s">
        <v>109</v>
      </c>
      <c r="B3" s="36" t="s">
        <v>642</v>
      </c>
      <c r="C3" s="36" t="str">
        <f>VLOOKUP($B3, 'Main Data'!$B$2:$Z$131, 2, FALSE)</f>
        <v>Commerce Township</v>
      </c>
      <c r="D3" t="str">
        <f>VLOOKUP(B3, County!$A$2:$B$131, 2, FALSE)</f>
        <v>Oakland</v>
      </c>
      <c r="E3" s="34" t="str">
        <f>VLOOKUP($B3, 'Main Data'!$B$2:$Z$131, 4, FALSE)</f>
        <v>Public</v>
      </c>
      <c r="F3" s="34">
        <f>VLOOKUP(A3,'Google Ratings'!$A$2:$B$128, 2, FALSE)</f>
        <v>4.3</v>
      </c>
      <c r="G3" s="34">
        <f>VLOOKUP($A3, 'Slope Ratings'!$A$2:$D$150, 3, FALSE)</f>
        <v>126</v>
      </c>
      <c r="H3" s="33">
        <f>VLOOKUP($A3, 'course_coordinates (1)'!$A$2:$D$145, 4, FALSE)</f>
        <v>42.608392500000001</v>
      </c>
      <c r="I3" s="35">
        <f>VLOOKUP($A3, 'course_coordinates (1)'!$A$2:$G$145, 5, FALSE)</f>
        <v>-83.532567599999993</v>
      </c>
    </row>
    <row r="4" spans="1:9" x14ac:dyDescent="0.3">
      <c r="A4" s="33" t="s">
        <v>40</v>
      </c>
      <c r="B4" s="36" t="s">
        <v>609</v>
      </c>
      <c r="C4" s="36" t="str">
        <f>VLOOKUP($B4, 'Main Data'!$B$2:$Z$131, 2, FALSE)</f>
        <v>Macomb</v>
      </c>
      <c r="D4" t="str">
        <f>VLOOKUP(B4, County!$A$2:$B$131, 2, FALSE)</f>
        <v>Macomb</v>
      </c>
      <c r="E4" s="34" t="str">
        <f>VLOOKUP($B4, 'Main Data'!$B$2:$Z$131, 4, FALSE)</f>
        <v>Public</v>
      </c>
      <c r="F4" s="34">
        <f>VLOOKUP(A4,'Google Ratings'!$A$2:$B$128, 2, FALSE)</f>
        <v>3.7</v>
      </c>
      <c r="G4" s="34">
        <f>VLOOKUP($A4, 'Slope Ratings'!$A$2:$D$150, 3, FALSE)</f>
        <v>132</v>
      </c>
      <c r="H4" s="33">
        <f>VLOOKUP($A4, 'course_coordinates (1)'!$A$2:$D$145, 4, FALSE)</f>
        <v>42.6475784</v>
      </c>
      <c r="I4" s="35">
        <f>VLOOKUP($A4, 'course_coordinates (1)'!$A$2:$G$145, 5, FALSE)</f>
        <v>-82.88073</v>
      </c>
    </row>
    <row r="5" spans="1:9" x14ac:dyDescent="0.3">
      <c r="A5" s="33" t="s">
        <v>43</v>
      </c>
      <c r="B5" s="36" t="s">
        <v>618</v>
      </c>
      <c r="C5" s="36" t="str">
        <f>VLOOKUP($B5, 'Main Data'!$B$2:$Z$131, 2, FALSE)</f>
        <v>Macomb</v>
      </c>
      <c r="D5" t="str">
        <f>VLOOKUP(B5, County!$A$2:$B$131, 2, FALSE)</f>
        <v>Macomb</v>
      </c>
      <c r="E5" s="34" t="str">
        <f>VLOOKUP($B5, 'Main Data'!$B$2:$Z$131, 4, FALSE)</f>
        <v>Public</v>
      </c>
      <c r="F5" s="34">
        <f>VLOOKUP(A5,'Google Ratings'!$A$2:$B$128, 2, FALSE)</f>
        <v>3.9</v>
      </c>
      <c r="G5" s="34">
        <f>VLOOKUP($A5, 'Slope Ratings'!$A$2:$D$150, 3, FALSE)</f>
        <v>110</v>
      </c>
      <c r="H5" s="33">
        <f>VLOOKUP($A5, 'course_coordinates (1)'!$A$2:$D$145, 4, FALSE)</f>
        <v>42.672508200000003</v>
      </c>
      <c r="I5" s="35">
        <f>VLOOKUP($A5, 'course_coordinates (1)'!$A$2:$G$145, 5, FALSE)</f>
        <v>-82.871765100000005</v>
      </c>
    </row>
    <row r="6" spans="1:9" x14ac:dyDescent="0.3">
      <c r="A6" s="33" t="s">
        <v>62</v>
      </c>
      <c r="B6" s="36" t="s">
        <v>717</v>
      </c>
      <c r="C6" s="36" t="str">
        <f>VLOOKUP($B6, 'Main Data'!$B$2:$Z$131, 2, FALSE)</f>
        <v>Birmingham</v>
      </c>
      <c r="D6" t="str">
        <f>VLOOKUP(B6, County!$A$2:$B$131, 2, FALSE)</f>
        <v>Oakland</v>
      </c>
      <c r="E6" s="34" t="str">
        <f>VLOOKUP($B6, 'Main Data'!$B$2:$Z$131, 4, FALSE)</f>
        <v>Private</v>
      </c>
      <c r="F6" s="34">
        <f>VLOOKUP(A6,'Google Ratings'!$A$2:$B$128, 2, FALSE)</f>
        <v>4.7</v>
      </c>
      <c r="G6" s="34">
        <f>VLOOKUP($A6, 'Slope Ratings'!$A$2:$D$150, 3, FALSE)</f>
        <v>129</v>
      </c>
      <c r="H6" s="33">
        <f>VLOOKUP($A6, 'course_coordinates (1)'!$A$2:$D$145, 4, FALSE)</f>
        <v>42.533126799999998</v>
      </c>
      <c r="I6" s="35">
        <f>VLOOKUP($A6, 'course_coordinates (1)'!$A$2:$G$145, 5, FALSE)</f>
        <v>-83.234329200000005</v>
      </c>
    </row>
    <row r="7" spans="1:9" x14ac:dyDescent="0.3">
      <c r="A7" s="33" t="s">
        <v>110</v>
      </c>
      <c r="B7" s="36" t="s">
        <v>602</v>
      </c>
      <c r="C7" s="36" t="str">
        <f>VLOOKUP($B7, 'Main Data'!$B$2:$Z$131, 2, FALSE)</f>
        <v>Oakland Township</v>
      </c>
      <c r="D7" t="str">
        <f>VLOOKUP(B7, County!$A$2:$B$131, 2, FALSE)</f>
        <v>Oakland</v>
      </c>
      <c r="E7" s="34" t="str">
        <f>VLOOKUP($B7, 'Main Data'!$B$2:$Z$131, 4, FALSE)</f>
        <v>Public</v>
      </c>
      <c r="F7" s="34">
        <f>VLOOKUP(A7,'Google Ratings'!$A$2:$B$128, 2, FALSE)</f>
        <v>3.7</v>
      </c>
      <c r="G7" s="34">
        <f>VLOOKUP($A7, 'Slope Ratings'!$A$2:$D$150, 3, FALSE)</f>
        <v>125</v>
      </c>
      <c r="H7" s="33">
        <f>VLOOKUP($A7, 'course_coordinates (1)'!$A$2:$D$145, 4, FALSE)</f>
        <v>42.751563699999998</v>
      </c>
      <c r="I7" s="35">
        <f>VLOOKUP($A7, 'course_coordinates (1)'!$A$2:$G$145, 5, FALSE)</f>
        <v>-83.134467900000004</v>
      </c>
    </row>
    <row r="8" spans="1:9" x14ac:dyDescent="0.3">
      <c r="A8" s="33" t="s">
        <v>66</v>
      </c>
      <c r="B8" s="36" t="s">
        <v>719</v>
      </c>
      <c r="C8" s="36" t="str">
        <f>VLOOKUP($B8, 'Main Data'!$B$2:$Z$131, 2, FALSE)</f>
        <v>Bloomfield Hills</v>
      </c>
      <c r="D8" t="str">
        <f>VLOOKUP(B8, County!$A$2:$B$131, 2, FALSE)</f>
        <v>Oakland</v>
      </c>
      <c r="E8" s="34" t="str">
        <f>VLOOKUP($B8, 'Main Data'!$B$2:$Z$131, 4, FALSE)</f>
        <v>Private</v>
      </c>
      <c r="F8" s="34">
        <f>VLOOKUP(A8,'Google Ratings'!$A$2:$B$128, 2, FALSE)</f>
        <v>4.4000000000000004</v>
      </c>
      <c r="G8" s="34">
        <f>VLOOKUP($A8, 'Slope Ratings'!$A$2:$D$150, 3, FALSE)</f>
        <v>128</v>
      </c>
      <c r="H8" s="33">
        <f>VLOOKUP($A8, 'course_coordinates (1)'!$A$2:$D$145, 4, FALSE)</f>
        <v>42.582906199999996</v>
      </c>
      <c r="I8" s="35">
        <f>VLOOKUP($A8, 'course_coordinates (1)'!$A$2:$G$145, 5, FALSE)</f>
        <v>-83.252639299999998</v>
      </c>
    </row>
    <row r="9" spans="1:9" x14ac:dyDescent="0.3">
      <c r="A9" s="33" t="s">
        <v>112</v>
      </c>
      <c r="B9" s="36" t="s">
        <v>643</v>
      </c>
      <c r="C9" s="36" t="str">
        <f>VLOOKUP($B9, 'Main Data'!$B$2:$Z$131, 2, FALSE)</f>
        <v>Oxford</v>
      </c>
      <c r="D9" t="str">
        <f>VLOOKUP(B9, County!$A$2:$B$131, 2, FALSE)</f>
        <v>Oakland</v>
      </c>
      <c r="E9" s="34" t="str">
        <f>VLOOKUP($B9, 'Main Data'!$B$2:$Z$131, 4, FALSE)</f>
        <v>Public</v>
      </c>
      <c r="F9" s="34">
        <f>VLOOKUP(A9,'Google Ratings'!$A$2:$B$128, 2, FALSE)</f>
        <v>4.3</v>
      </c>
      <c r="G9" s="34">
        <f>VLOOKUP($A9, 'Slope Ratings'!$A$2:$D$150, 3, FALSE)</f>
        <v>130</v>
      </c>
      <c r="H9" s="33">
        <f>VLOOKUP($A9, 'course_coordinates (1)'!$A$2:$D$145, 4, FALSE)</f>
        <v>42.834254000000001</v>
      </c>
      <c r="I9" s="35">
        <f>VLOOKUP($A9, 'course_coordinates (1)'!$A$2:$G$145, 5, FALSE)</f>
        <v>-83.277655999999993</v>
      </c>
    </row>
    <row r="10" spans="1:9" x14ac:dyDescent="0.3">
      <c r="A10" s="33" t="s">
        <v>551</v>
      </c>
      <c r="B10" s="36" t="s">
        <v>684</v>
      </c>
      <c r="C10" s="36" t="str">
        <f>VLOOKUP($B10, 'Main Data'!$B$2:$Z$131, 2, FALSE)</f>
        <v>Plymouth Township</v>
      </c>
      <c r="D10" t="str">
        <f>VLOOKUP(B10, County!$A$2:$B$131, 2, FALSE)</f>
        <v>Wayne</v>
      </c>
      <c r="E10" s="34" t="str">
        <f>VLOOKUP($B10, 'Main Data'!$B$2:$Z$131, 4, FALSE)</f>
        <v>Public</v>
      </c>
      <c r="F10" s="34">
        <f>VLOOKUP(A10,'Google Ratings'!$A$2:$B$128, 2, FALSE)</f>
        <v>3.7</v>
      </c>
      <c r="G10" s="34">
        <f>VLOOKUP($A10, 'Slope Ratings'!$A$2:$D$150, 3, FALSE)</f>
        <v>123</v>
      </c>
      <c r="H10" s="33">
        <f>VLOOKUP($A10, 'course_coordinates (1)'!$A$2:$D$145, 4, FALSE)</f>
        <v>42.391292499999999</v>
      </c>
      <c r="I10" s="35">
        <f>VLOOKUP($A10, 'course_coordinates (1)'!$A$2:$G$145, 5, FALSE)</f>
        <v>-83.551050799999999</v>
      </c>
    </row>
    <row r="11" spans="1:9" x14ac:dyDescent="0.3">
      <c r="A11" s="33" t="s">
        <v>114</v>
      </c>
      <c r="B11" s="36" t="s">
        <v>603</v>
      </c>
      <c r="C11" s="36" t="str">
        <f>VLOOKUP($B11, 'Main Data'!$B$2:$Z$131, 2, FALSE)</f>
        <v>White Lake</v>
      </c>
      <c r="D11" t="str">
        <f>VLOOKUP(B11, County!$A$2:$B$131, 2, FALSE)</f>
        <v>Oakland</v>
      </c>
      <c r="E11" s="34" t="str">
        <f>VLOOKUP($B11, 'Main Data'!$B$2:$Z$131, 4, FALSE)</f>
        <v>Public</v>
      </c>
      <c r="F11" s="34">
        <f>VLOOKUP(A11,'Google Ratings'!$A$2:$B$128, 2, FALSE)</f>
        <v>4.0999999999999996</v>
      </c>
      <c r="G11" s="34">
        <f>VLOOKUP($A11, 'Slope Ratings'!$A$2:$D$150, 3, FALSE)</f>
        <v>119</v>
      </c>
      <c r="H11" s="33">
        <f>VLOOKUP($A11, 'course_coordinates (1)'!$A$2:$D$145, 4, FALSE)</f>
        <v>42.618441300000001</v>
      </c>
      <c r="I11" s="35">
        <f>VLOOKUP($A11, 'course_coordinates (1)'!$A$2:$G$145, 5, FALSE)</f>
        <v>-83.525782899999996</v>
      </c>
    </row>
    <row r="12" spans="1:9" x14ac:dyDescent="0.3">
      <c r="A12" s="33" t="s">
        <v>718</v>
      </c>
      <c r="B12" s="36" t="s">
        <v>640</v>
      </c>
      <c r="C12" s="36" t="str">
        <f>VLOOKUP($B12, 'Main Data'!$B$2:$Z$131, 2, FALSE)</f>
        <v>Rochester Hills</v>
      </c>
      <c r="D12" t="str">
        <f>VLOOKUP(B12, County!$A$2:$B$131, 2, FALSE)</f>
        <v>Oakland</v>
      </c>
      <c r="E12" s="34" t="str">
        <f>VLOOKUP($B12, 'Main Data'!$B$2:$Z$131, 4, FALSE)</f>
        <v>Private</v>
      </c>
      <c r="F12" s="34">
        <f>VLOOKUP(A12,'Google Ratings'!$A$2:$B$128, 2, FALSE)</f>
        <v>4.5999999999999996</v>
      </c>
      <c r="G12" s="34">
        <v>125</v>
      </c>
      <c r="H12" s="33">
        <v>42.69397</v>
      </c>
      <c r="I12" s="35">
        <v>-83.174769999999995</v>
      </c>
    </row>
    <row r="13" spans="1:9" x14ac:dyDescent="0.3">
      <c r="A13" s="33" t="s">
        <v>45</v>
      </c>
      <c r="B13" s="36" t="s">
        <v>619</v>
      </c>
      <c r="C13" s="36" t="str">
        <f>VLOOKUP($B13, 'Main Data'!$B$2:$Z$131, 2, FALSE)</f>
        <v>Bruce Township</v>
      </c>
      <c r="D13" t="str">
        <f>VLOOKUP(B13, County!$A$2:$B$131, 2, FALSE)</f>
        <v>Macomb</v>
      </c>
      <c r="E13" s="34" t="str">
        <f>VLOOKUP($B13, 'Main Data'!$B$2:$Z$131, 4, FALSE)</f>
        <v>Public</v>
      </c>
      <c r="F13" s="34">
        <f>VLOOKUP(A13,'Google Ratings'!$A$2:$B$128, 2, FALSE)</f>
        <v>3.8</v>
      </c>
      <c r="G13" s="34">
        <f>VLOOKUP($A13, 'Slope Ratings'!$A$2:$D$150, 3, FALSE)</f>
        <v>106</v>
      </c>
      <c r="H13" s="33">
        <f>VLOOKUP($A13, 'course_coordinates (1)'!$A$2:$D$145, 4, FALSE)</f>
        <v>42.823999999999998</v>
      </c>
      <c r="I13" s="35">
        <f>VLOOKUP($A13, 'course_coordinates (1)'!$A$2:$G$145, 5, FALSE)</f>
        <v>-83.051682999999997</v>
      </c>
    </row>
    <row r="14" spans="1:9" x14ac:dyDescent="0.3">
      <c r="A14" s="33" t="s">
        <v>264</v>
      </c>
      <c r="B14" s="36" t="s">
        <v>707</v>
      </c>
      <c r="C14" s="36" t="str">
        <f>VLOOKUP($B14, 'Main Data'!$B$2:$Z$131, 2, FALSE)</f>
        <v>Northville</v>
      </c>
      <c r="D14" t="s">
        <v>213</v>
      </c>
      <c r="E14" s="34" t="str">
        <f>VLOOKUP($B14, 'Main Data'!$B$2:$Z$131, 4, FALSE)</f>
        <v>Public</v>
      </c>
      <c r="F14" s="34">
        <f>VLOOKUP(A14,'Google Ratings'!$A$2:$B$128, 2, FALSE)</f>
        <v>4.3</v>
      </c>
      <c r="G14" s="34">
        <v>90</v>
      </c>
      <c r="H14" s="33">
        <f>VLOOKUP($A14, 'course_coordinates (1)'!$A$2:$D$145, 4, FALSE)</f>
        <v>42.405417399999997</v>
      </c>
      <c r="I14" s="35">
        <f>VLOOKUP($A14, 'course_coordinates (1)'!$A$2:$G$145, 5, FALSE)</f>
        <v>-83.433615000000003</v>
      </c>
    </row>
    <row r="15" spans="1:9" x14ac:dyDescent="0.3">
      <c r="A15" s="33" t="s">
        <v>17</v>
      </c>
      <c r="B15" s="36" t="s">
        <v>610</v>
      </c>
      <c r="C15" s="36" t="str">
        <f>VLOOKUP($B15, 'Main Data'!$B$2:$Z$131, 2, FALSE)</f>
        <v>New Baltimore</v>
      </c>
      <c r="D15" t="str">
        <f>VLOOKUP(B15, County!$A$2:$B$131, 2, FALSE)</f>
        <v>Macomb</v>
      </c>
      <c r="E15" s="34" t="str">
        <f>VLOOKUP($B15, 'Main Data'!$B$2:$Z$131, 4, FALSE)</f>
        <v>Public</v>
      </c>
      <c r="F15" s="34">
        <f>VLOOKUP(A15,'Google Ratings'!$A$2:$B$128, 2, FALSE)</f>
        <v>3.7</v>
      </c>
      <c r="G15" s="34">
        <f>VLOOKUP($A15, 'Slope Ratings'!$A$2:$D$150, 3, FALSE)</f>
        <v>116</v>
      </c>
      <c r="H15" s="33">
        <f>VLOOKUP($A15, 'course_coordinates (1)'!$A$2:$D$145, 4, FALSE)</f>
        <v>42.705366599999998</v>
      </c>
      <c r="I15" s="35">
        <f>VLOOKUP($A15, 'course_coordinates (1)'!$A$2:$G$145, 5, FALSE)</f>
        <v>-82.747158600000006</v>
      </c>
    </row>
    <row r="16" spans="1:9" x14ac:dyDescent="0.3">
      <c r="A16" s="33" t="s">
        <v>243</v>
      </c>
      <c r="B16" s="36" t="s">
        <v>675</v>
      </c>
      <c r="C16" s="36" t="str">
        <f>VLOOKUP($B16, 'Main Data'!$B$2:$Z$131, 2, FALSE)</f>
        <v>Detroit</v>
      </c>
      <c r="D16" t="str">
        <f>VLOOKUP(B16, County!$A$2:$B$131, 2, FALSE)</f>
        <v>Wayne</v>
      </c>
      <c r="E16" s="34" t="str">
        <f>VLOOKUP($B16, 'Main Data'!$B$2:$Z$131, 4, FALSE)</f>
        <v>Public</v>
      </c>
      <c r="F16" s="34">
        <f>VLOOKUP(A16,'Google Ratings'!$A$2:$B$128, 2, FALSE)</f>
        <v>4.2</v>
      </c>
      <c r="G16" s="34">
        <f>VLOOKUP($A16, 'Slope Ratings'!$A$2:$D$150, 3, FALSE)</f>
        <v>104</v>
      </c>
      <c r="H16" s="33">
        <f>VLOOKUP($A16, 'course_coordinates (1)'!$A$2:$D$145, 4, FALSE)</f>
        <v>42.397154499999999</v>
      </c>
      <c r="I16" s="35">
        <f>VLOOKUP($A16, 'course_coordinates (1)'!$A$2:$G$145, 5, FALSE)</f>
        <v>-82.972870499999999</v>
      </c>
    </row>
    <row r="17" spans="1:9" x14ac:dyDescent="0.3">
      <c r="A17" s="33" t="s">
        <v>48</v>
      </c>
      <c r="B17" s="36" t="s">
        <v>620</v>
      </c>
      <c r="C17" s="36" t="str">
        <f>VLOOKUP($B17, 'Main Data'!$B$2:$Z$131, 2, FALSE)</f>
        <v>Shelby Township</v>
      </c>
      <c r="D17" t="str">
        <f>VLOOKUP(B17, County!$A$2:$B$131, 2, FALSE)</f>
        <v>Macomb</v>
      </c>
      <c r="E17" s="34" t="str">
        <f>VLOOKUP($B17, 'Main Data'!$B$2:$Z$131, 4, FALSE)</f>
        <v>Public</v>
      </c>
      <c r="F17" s="34">
        <f>VLOOKUP(A17,'Google Ratings'!$A$2:$B$128, 2, FALSE)</f>
        <v>4.5</v>
      </c>
      <c r="G17" s="34">
        <f>VLOOKUP($A17, 'Slope Ratings'!$A$2:$D$150, 3, FALSE)</f>
        <v>124</v>
      </c>
      <c r="H17" s="33">
        <f>VLOOKUP($A17, 'course_coordinates (1)'!$A$2:$D$145, 4, FALSE)</f>
        <v>42.676975900000002</v>
      </c>
      <c r="I17" s="35">
        <f>VLOOKUP($A17, 'course_coordinates (1)'!$A$2:$G$145, 5, FALSE)</f>
        <v>-83.021367400000003</v>
      </c>
    </row>
    <row r="18" spans="1:9" x14ac:dyDescent="0.3">
      <c r="A18" s="33" t="s">
        <v>149</v>
      </c>
      <c r="B18" s="36" t="s">
        <v>658</v>
      </c>
      <c r="C18" s="36" t="str">
        <f>VLOOKUP($B18, 'Main Data'!$B$2:$Z$131, 2, FALSE)</f>
        <v>Farmington Hills</v>
      </c>
      <c r="D18" t="str">
        <f>VLOOKUP(B18, County!$A$2:$B$131, 2, FALSE)</f>
        <v>Oakland</v>
      </c>
      <c r="E18" s="34" t="str">
        <f>VLOOKUP($B18, 'Main Data'!$B$2:$Z$131, 4, FALSE)</f>
        <v>Public</v>
      </c>
      <c r="F18" s="34">
        <f>VLOOKUP(A18,'Google Ratings'!$A$2:$B$128, 2, FALSE)</f>
        <v>4.2</v>
      </c>
      <c r="G18" s="34">
        <f>VLOOKUP($A18, 'Slope Ratings'!$A$2:$D$150, 3, FALSE)</f>
        <v>114</v>
      </c>
      <c r="H18" s="33">
        <f>VLOOKUP($A18, 'course_coordinates (1)'!$A$2:$D$145, 4, FALSE)</f>
        <v>42.498356299999998</v>
      </c>
      <c r="I18" s="35">
        <f>VLOOKUP($A18, 'course_coordinates (1)'!$A$2:$G$145, 5, FALSE)</f>
        <v>-83.424146399999998</v>
      </c>
    </row>
    <row r="19" spans="1:9" x14ac:dyDescent="0.3">
      <c r="A19" s="33" t="s">
        <v>116</v>
      </c>
      <c r="B19" s="36" t="s">
        <v>644</v>
      </c>
      <c r="C19" s="36" t="str">
        <f>VLOOKUP($B19, 'Main Data'!$B$2:$Z$131, 2, FALSE)</f>
        <v>Oxford</v>
      </c>
      <c r="D19" t="str">
        <f>VLOOKUP(B19, County!$A$2:$B$131, 2, FALSE)</f>
        <v>Oakland</v>
      </c>
      <c r="E19" s="34" t="str">
        <f>VLOOKUP($B19, 'Main Data'!$B$2:$Z$131, 4, FALSE)</f>
        <v>Public</v>
      </c>
      <c r="F19" s="34">
        <f>VLOOKUP(A19,'Google Ratings'!$A$2:$B$128, 2, FALSE)</f>
        <v>3.9</v>
      </c>
      <c r="G19" s="34">
        <f>VLOOKUP($A19, 'Slope Ratings'!$A$2:$D$150, 3, FALSE)</f>
        <v>134</v>
      </c>
      <c r="H19" s="33">
        <f>VLOOKUP($A19, 'course_coordinates (1)'!$A$2:$D$145, 4, FALSE)</f>
        <v>42.827319500000002</v>
      </c>
      <c r="I19" s="35">
        <f>VLOOKUP($A19, 'course_coordinates (1)'!$A$2:$G$145, 5, FALSE)</f>
        <v>-83.182911899999993</v>
      </c>
    </row>
    <row r="20" spans="1:9" x14ac:dyDescent="0.3">
      <c r="A20" s="33" t="s">
        <v>211</v>
      </c>
      <c r="B20" s="36" t="s">
        <v>211</v>
      </c>
      <c r="C20" s="36" t="str">
        <f>VLOOKUP($B20, 'Main Data'!$B$2:$Z$131, 2, FALSE)</f>
        <v>Grosse Pointe Farms</v>
      </c>
      <c r="D20" t="str">
        <f>VLOOKUP(B20, County!$A$2:$B$131, 2, FALSE)</f>
        <v>Wayne</v>
      </c>
      <c r="E20" s="34" t="str">
        <f>VLOOKUP($B20, 'Main Data'!$B$2:$Z$131, 4, FALSE)</f>
        <v>Private</v>
      </c>
      <c r="F20" s="34">
        <f>VLOOKUP(A20,'Google Ratings'!$A$2:$B$128, 2, FALSE)</f>
        <v>4.5999999999999996</v>
      </c>
      <c r="G20" s="34">
        <f>VLOOKUP($A20, 'Slope Ratings'!$A$2:$D$150, 3, FALSE)</f>
        <v>131</v>
      </c>
      <c r="H20" s="33">
        <f>VLOOKUP($A20, 'course_coordinates (1)'!$A$2:$D$145, 4, FALSE)</f>
        <v>42.414724100000001</v>
      </c>
      <c r="I20" s="35">
        <f>VLOOKUP($A20, 'course_coordinates (1)'!$A$2:$G$145, 5, FALSE)</f>
        <v>-82.894073300000002</v>
      </c>
    </row>
    <row r="21" spans="1:9" x14ac:dyDescent="0.3">
      <c r="A21" s="33" t="s">
        <v>117</v>
      </c>
      <c r="B21" s="36" t="s">
        <v>604</v>
      </c>
      <c r="C21" s="36" t="str">
        <f>VLOOKUP($B21, 'Main Data'!$B$2:$Z$131, 2, FALSE)</f>
        <v>New Hudson</v>
      </c>
      <c r="D21" t="str">
        <f>VLOOKUP(B21, County!$A$2:$B$131, 2, FALSE)</f>
        <v>Oakland</v>
      </c>
      <c r="E21" s="34" t="str">
        <f>VLOOKUP($B21, 'Main Data'!$B$2:$Z$131, 4, FALSE)</f>
        <v>Public</v>
      </c>
      <c r="F21" s="34">
        <f>VLOOKUP(A21,'Google Ratings'!$A$2:$B$128, 2, FALSE)</f>
        <v>4.0999999999999996</v>
      </c>
      <c r="G21" s="34">
        <f>VLOOKUP($A21, 'Slope Ratings'!$A$2:$D$150, 3, FALSE)</f>
        <v>133</v>
      </c>
      <c r="H21" s="33">
        <f>VLOOKUP($A21, 'course_coordinates (1)'!$A$2:$D$145, 4, FALSE)</f>
        <v>42.497571499999999</v>
      </c>
      <c r="I21" s="35">
        <f>VLOOKUP($A21, 'course_coordinates (1)'!$A$2:$G$145, 5, FALSE)</f>
        <v>-83.612395699999993</v>
      </c>
    </row>
    <row r="22" spans="1:9" x14ac:dyDescent="0.3">
      <c r="A22" s="33" t="s">
        <v>50</v>
      </c>
      <c r="B22" s="36" t="s">
        <v>596</v>
      </c>
      <c r="C22" s="36" t="str">
        <f>VLOOKUP($B22, 'Main Data'!$B$2:$Z$131, 2, FALSE)</f>
        <v>Macomb</v>
      </c>
      <c r="D22" t="str">
        <f>VLOOKUP(B22, County!$A$2:$B$131, 2, FALSE)</f>
        <v>Macomb</v>
      </c>
      <c r="E22" s="34" t="str">
        <f>VLOOKUP($B22, 'Main Data'!$B$2:$Z$131, 4, FALSE)</f>
        <v>Public</v>
      </c>
      <c r="F22" s="34">
        <f>VLOOKUP(A22,'Google Ratings'!$A$2:$B$128, 2, FALSE)</f>
        <v>3.9</v>
      </c>
      <c r="G22" s="34">
        <f>VLOOKUP($A22, 'Slope Ratings'!$A$2:$D$150, 3, FALSE)</f>
        <v>121</v>
      </c>
      <c r="H22" s="33">
        <f>VLOOKUP($A22, 'course_coordinates (1)'!$A$2:$D$145, 4, FALSE)</f>
        <v>42.6896171</v>
      </c>
      <c r="I22" s="35">
        <f>VLOOKUP($A22, 'course_coordinates (1)'!$A$2:$G$145, 5, FALSE)</f>
        <v>-82.942924399999995</v>
      </c>
    </row>
    <row r="23" spans="1:9" x14ac:dyDescent="0.3">
      <c r="A23" s="33" t="s">
        <v>214</v>
      </c>
      <c r="B23" s="36" t="s">
        <v>704</v>
      </c>
      <c r="C23" s="36" t="str">
        <f>VLOOKUP($B23, 'Main Data'!$B$2:$Z$131, 2, FALSE)</f>
        <v>Dearborn</v>
      </c>
      <c r="D23" t="str">
        <f>VLOOKUP(B23, County!$A$2:$B$131, 2, FALSE)</f>
        <v>Wayne</v>
      </c>
      <c r="E23" s="34" t="str">
        <f>VLOOKUP($B23, 'Main Data'!$B$2:$Z$131, 4, FALSE)</f>
        <v>Private</v>
      </c>
      <c r="F23" s="34">
        <f>VLOOKUP(A23,'Google Ratings'!$A$2:$B$128, 2, FALSE)</f>
        <v>4.5</v>
      </c>
      <c r="G23" s="34">
        <f>VLOOKUP($A23, 'Slope Ratings'!$A$2:$D$150, 3, FALSE)</f>
        <v>124</v>
      </c>
      <c r="H23" s="33">
        <f>VLOOKUP($A23, 'course_coordinates (1)'!$A$2:$D$145, 4, FALSE)</f>
        <v>42.3177515</v>
      </c>
      <c r="I23" s="35">
        <f>VLOOKUP($A23, 'course_coordinates (1)'!$A$2:$G$145, 5, FALSE)</f>
        <v>-83.254531499999999</v>
      </c>
    </row>
    <row r="24" spans="1:9" x14ac:dyDescent="0.3">
      <c r="A24" s="33" t="s">
        <v>588</v>
      </c>
      <c r="B24" s="36" t="s">
        <v>542</v>
      </c>
      <c r="C24" s="36" t="str">
        <f>VLOOKUP($B24, 'Main Data'!$B$2:$Z$131, 2, FALSE)</f>
        <v>Dearborn</v>
      </c>
      <c r="D24" t="str">
        <f>VLOOKUP(B24, County!$A$2:$B$131, 2, FALSE)</f>
        <v>Wayne</v>
      </c>
      <c r="E24" s="34" t="str">
        <f>VLOOKUP($B24, 'Main Data'!$B$2:$Z$131, 4, FALSE)</f>
        <v>Public</v>
      </c>
      <c r="F24" s="34">
        <f>VLOOKUP(A24,'Google Ratings'!$A$2:$B$128, 2, FALSE)</f>
        <v>3.6</v>
      </c>
      <c r="G24" s="34">
        <v>100</v>
      </c>
      <c r="H24" s="33">
        <f>VLOOKUP($A24, 'course_coordinates (1)'!$A$2:$D$145, 4, FALSE)</f>
        <v>42.301256000000002</v>
      </c>
      <c r="I24" s="35">
        <f>VLOOKUP($A24, 'course_coordinates (1)'!$A$2:$G$145, 5, FALSE)</f>
        <v>-83.273567999999997</v>
      </c>
    </row>
    <row r="25" spans="1:9" x14ac:dyDescent="0.3">
      <c r="A25" s="33" t="s">
        <v>216</v>
      </c>
      <c r="B25" s="36" t="s">
        <v>216</v>
      </c>
      <c r="C25" s="36" t="str">
        <f>VLOOKUP($B25, 'Main Data'!$B$2:$Z$131, 2, FALSE)</f>
        <v>Detroit</v>
      </c>
      <c r="D25" t="str">
        <f>VLOOKUP(B25, County!$A$2:$B$131, 2, FALSE)</f>
        <v>Wayne</v>
      </c>
      <c r="E25" s="34" t="str">
        <f>VLOOKUP($B25, 'Main Data'!$B$2:$Z$131, 4, FALSE)</f>
        <v>Private</v>
      </c>
      <c r="F25" s="34">
        <f>VLOOKUP(A25,'Google Ratings'!$A$2:$B$128, 2, FALSE)</f>
        <v>4.7</v>
      </c>
      <c r="G25" s="34">
        <f>VLOOKUP($A25, 'Slope Ratings'!$A$2:$D$150, 3, FALSE)</f>
        <v>125</v>
      </c>
      <c r="H25" s="33">
        <f>VLOOKUP($A25, 'course_coordinates (1)'!$A$2:$D$145, 4, FALSE)</f>
        <v>42.426279999999998</v>
      </c>
      <c r="I25" s="35">
        <f>VLOOKUP($A25, 'course_coordinates (1)'!$A$2:$G$145, 5, FALSE)</f>
        <v>-83.126246199999997</v>
      </c>
    </row>
    <row r="26" spans="1:9" x14ac:dyDescent="0.3">
      <c r="A26" s="33" t="s">
        <v>581</v>
      </c>
      <c r="B26" s="36" t="s">
        <v>687</v>
      </c>
      <c r="C26" s="36" t="str">
        <f>VLOOKUP($B26, 'Main Data'!$B$2:$Z$131, 2, FALSE)</f>
        <v>Northville</v>
      </c>
      <c r="D26" t="str">
        <f>VLOOKUP(B26, County!$A$2:$B$131, 2, FALSE)</f>
        <v>Wayne</v>
      </c>
      <c r="E26" s="34" t="str">
        <f>VLOOKUP($B26, 'Main Data'!$B$2:$Z$131, 4, FALSE)</f>
        <v>Public</v>
      </c>
      <c r="F26" s="34">
        <f>VLOOKUP(A26,'Google Ratings'!$A$2:$B$128, 2, FALSE)</f>
        <v>3.8</v>
      </c>
      <c r="G26" s="34">
        <f>VLOOKUP($A26, 'Slope Ratings'!$A$2:$D$150, 3, FALSE)</f>
        <v>115</v>
      </c>
      <c r="H26" s="33">
        <f>VLOOKUP($A26, 'course_coordinates (1)'!$A$2:$D$145, 4, FALSE)</f>
        <v>42.4183758</v>
      </c>
      <c r="I26" s="35">
        <f>VLOOKUP($A26, 'course_coordinates (1)'!$A$2:$G$145, 5, FALSE)</f>
        <v>-83.604451999999995</v>
      </c>
    </row>
    <row r="27" spans="1:9" x14ac:dyDescent="0.3">
      <c r="A27" s="33" t="s">
        <v>70</v>
      </c>
      <c r="B27" s="36" t="s">
        <v>597</v>
      </c>
      <c r="C27" s="36" t="str">
        <f>VLOOKUP($B27, 'Main Data'!$B$2:$Z$131, 2, FALSE)</f>
        <v>Commerce Township</v>
      </c>
      <c r="D27" t="str">
        <f>VLOOKUP(B27, County!$A$2:$B$131, 2, FALSE)</f>
        <v>Oakland</v>
      </c>
      <c r="E27" s="34" t="str">
        <f>VLOOKUP($B27, 'Main Data'!$B$2:$Z$131, 4, FALSE)</f>
        <v>Private</v>
      </c>
      <c r="F27" s="34">
        <f>VLOOKUP(A27,'Google Ratings'!$A$2:$B$128, 2, FALSE)</f>
        <v>4.7</v>
      </c>
      <c r="G27" s="34">
        <f>VLOOKUP($A27, 'Slope Ratings'!$A$2:$D$150, 3, FALSE)</f>
        <v>128</v>
      </c>
      <c r="H27" s="33">
        <f>VLOOKUP($A27, 'course_coordinates (1)'!$A$2:$D$145, 4, FALSE)</f>
        <v>42.589847800000001</v>
      </c>
      <c r="I27" s="35">
        <f>VLOOKUP($A27, 'course_coordinates (1)'!$A$2:$G$145, 5, FALSE)</f>
        <v>-83.450099300000005</v>
      </c>
    </row>
    <row r="28" spans="1:9" x14ac:dyDescent="0.3">
      <c r="A28" s="33" t="s">
        <v>151</v>
      </c>
      <c r="B28" s="36" t="s">
        <v>659</v>
      </c>
      <c r="C28" s="36" t="str">
        <f>VLOOKUP($B28, 'Main Data'!$B$2:$Z$131, 2, FALSE)</f>
        <v>Southfield</v>
      </c>
      <c r="D28" t="str">
        <f>VLOOKUP(B28, County!$A$2:$B$131, 2, FALSE)</f>
        <v>Oakland</v>
      </c>
      <c r="E28" s="34" t="str">
        <f>VLOOKUP($B28, 'Main Data'!$B$2:$Z$131, 4, FALSE)</f>
        <v>Public</v>
      </c>
      <c r="F28" s="34">
        <f>VLOOKUP(A28,'Google Ratings'!$A$2:$B$128, 2, FALSE)</f>
        <v>4</v>
      </c>
      <c r="G28" s="34">
        <f>VLOOKUP($A28, 'Slope Ratings'!$A$2:$D$150, 3, FALSE)</f>
        <v>108</v>
      </c>
      <c r="H28" s="33">
        <f>VLOOKUP($A28, 'course_coordinates (1)'!$A$2:$D$145, 4, FALSE)</f>
        <v>42.4791174</v>
      </c>
      <c r="I28" s="35">
        <f>VLOOKUP($A28, 'course_coordinates (1)'!$A$2:$G$145, 5, FALSE)</f>
        <v>-83.235712599999999</v>
      </c>
    </row>
    <row r="29" spans="1:9" x14ac:dyDescent="0.3">
      <c r="A29" s="33" t="s">
        <v>153</v>
      </c>
      <c r="B29" s="36" t="s">
        <v>105</v>
      </c>
      <c r="C29" s="36" t="str">
        <f>VLOOKUP($B29, 'Main Data'!$B$2:$Z$131, 2, FALSE)</f>
        <v>Farmington Hills</v>
      </c>
      <c r="D29" t="str">
        <f>VLOOKUP(B29, County!$A$2:$B$131, 2, FALSE)</f>
        <v>Oakland</v>
      </c>
      <c r="E29" s="34" t="str">
        <f>VLOOKUP($B29, 'Main Data'!$B$2:$Z$131, 4, FALSE)</f>
        <v>Public</v>
      </c>
      <c r="F29" s="34">
        <f>VLOOKUP(A29,'Google Ratings'!$A$2:$B$128, 2, FALSE)</f>
        <v>4.2</v>
      </c>
      <c r="G29" s="34">
        <f>VLOOKUP($A29, 'Slope Ratings'!$A$2:$D$150, 3, FALSE)</f>
        <v>118</v>
      </c>
      <c r="H29" s="33">
        <f>VLOOKUP($A29, 'course_coordinates (1)'!$A$2:$D$145, 4, FALSE)</f>
        <v>42.482575599999997</v>
      </c>
      <c r="I29" s="35">
        <f>VLOOKUP($A29, 'course_coordinates (1)'!$A$2:$G$145, 5, FALSE)</f>
        <v>-83.419117200000002</v>
      </c>
    </row>
    <row r="30" spans="1:9" x14ac:dyDescent="0.3">
      <c r="A30" s="33" t="s">
        <v>228</v>
      </c>
      <c r="B30" s="36" t="s">
        <v>669</v>
      </c>
      <c r="C30" s="36" t="str">
        <f>VLOOKUP($B30, 'Main Data'!$B$2:$Z$131, 2, FALSE)</f>
        <v>Canton Township</v>
      </c>
      <c r="D30" t="str">
        <f>VLOOKUP(B30, County!$A$2:$B$131, 2, FALSE)</f>
        <v>Wayne</v>
      </c>
      <c r="E30" s="34" t="str">
        <f>VLOOKUP($B30, 'Main Data'!$B$2:$Z$131, 4, FALSE)</f>
        <v>Public</v>
      </c>
      <c r="F30" s="34">
        <f>VLOOKUP(A30,'Google Ratings'!$A$2:$B$128, 2, FALSE)</f>
        <v>4.2</v>
      </c>
      <c r="G30" s="34">
        <f>VLOOKUP($A30, 'Slope Ratings'!$A$2:$D$150, 3, FALSE)</f>
        <v>119</v>
      </c>
      <c r="H30" s="33">
        <f>VLOOKUP($A30, 'course_coordinates (1)'!$A$2:$D$145, 4, FALSE)</f>
        <v>42.286168600000003</v>
      </c>
      <c r="I30" s="35">
        <f>VLOOKUP($A30, 'course_coordinates (1)'!$A$2:$G$145, 5, FALSE)</f>
        <v>-83.438719500000005</v>
      </c>
    </row>
    <row r="31" spans="1:9" x14ac:dyDescent="0.3">
      <c r="A31" s="33" t="s">
        <v>20</v>
      </c>
      <c r="B31" s="36" t="s">
        <v>611</v>
      </c>
      <c r="C31" s="36" t="str">
        <f>VLOOKUP($B31, 'Main Data'!$B$2:$Z$131, 2, FALSE)</f>
        <v>Clinton Township</v>
      </c>
      <c r="D31" t="str">
        <f>VLOOKUP(B31, County!$A$2:$B$131, 2, FALSE)</f>
        <v>Macomb</v>
      </c>
      <c r="E31" s="34" t="str">
        <f>VLOOKUP($B31, 'Main Data'!$B$2:$Z$131, 4, FALSE)</f>
        <v>Public</v>
      </c>
      <c r="F31" s="34">
        <f>VLOOKUP(A31,'Google Ratings'!$A$2:$B$128, 2, FALSE)</f>
        <v>4.0999999999999996</v>
      </c>
      <c r="G31" s="34">
        <f>VLOOKUP($A31, 'Slope Ratings'!$A$2:$D$150, 3, FALSE)</f>
        <v>112</v>
      </c>
      <c r="H31" s="33">
        <f>VLOOKUP($A31, 'course_coordinates (1)'!$A$2:$D$145, 4, FALSE)</f>
        <v>42.582209499999998</v>
      </c>
      <c r="I31" s="35">
        <f>VLOOKUP($A31, 'course_coordinates (1)'!$A$2:$G$145, 5, FALSE)</f>
        <v>-82.942196899999999</v>
      </c>
    </row>
    <row r="32" spans="1:9" x14ac:dyDescent="0.3">
      <c r="A32" s="33" t="s">
        <v>119</v>
      </c>
      <c r="B32" s="36" t="s">
        <v>709</v>
      </c>
      <c r="C32" s="36" t="str">
        <f>VLOOKUP($B32, 'Main Data'!$B$2:$Z$131, 2, FALSE)</f>
        <v>Auburn Hills</v>
      </c>
      <c r="D32" t="str">
        <f>VLOOKUP(B32, County!$A$2:$B$131, 2, FALSE)</f>
        <v>Oakland</v>
      </c>
      <c r="E32" s="34" t="str">
        <f>VLOOKUP($B32, 'Main Data'!$B$2:$Z$131, 4, FALSE)</f>
        <v>Public</v>
      </c>
      <c r="F32" s="34">
        <f>VLOOKUP(A32,'Google Ratings'!$A$2:$B$128, 2, FALSE)</f>
        <v>3.9</v>
      </c>
      <c r="G32" s="34">
        <f>VLOOKUP($A32, 'Slope Ratings'!$A$2:$D$150, 3, FALSE)</f>
        <v>134</v>
      </c>
      <c r="H32" s="33">
        <f>VLOOKUP($A32, 'course_coordinates (1)'!$A$2:$D$145, 4, FALSE)</f>
        <v>42.688152500000001</v>
      </c>
      <c r="I32" s="35">
        <f>VLOOKUP($A32, 'course_coordinates (1)'!$A$2:$G$145, 5, FALSE)</f>
        <v>-83.256309700000003</v>
      </c>
    </row>
    <row r="33" spans="1:9" x14ac:dyDescent="0.3">
      <c r="A33" s="33" t="s">
        <v>72</v>
      </c>
      <c r="B33" s="36" t="s">
        <v>625</v>
      </c>
      <c r="C33" s="36" t="str">
        <f>VLOOKUP($B33, 'Main Data'!$B$2:$Z$131, 2, FALSE)</f>
        <v>Bloomfield Township</v>
      </c>
      <c r="D33" t="str">
        <f>VLOOKUP(B33, County!$A$2:$B$131, 2, FALSE)</f>
        <v>Oakland</v>
      </c>
      <c r="E33" s="34" t="str">
        <f>VLOOKUP($B33, 'Main Data'!$B$2:$Z$131, 4, FALSE)</f>
        <v>Private</v>
      </c>
      <c r="F33" s="34">
        <f>VLOOKUP(A33,'Google Ratings'!$A$2:$B$128, 2, FALSE)</f>
        <v>4.5999999999999996</v>
      </c>
      <c r="G33" s="34">
        <f>VLOOKUP($A33, 'Slope Ratings'!$A$2:$D$150, 3, FALSE)</f>
        <v>132</v>
      </c>
      <c r="H33" s="33">
        <f>VLOOKUP($A33, 'course_coordinates (1)'!$A$2:$D$145, 4, FALSE)</f>
        <v>42.596913999999998</v>
      </c>
      <c r="I33" s="35">
        <f>VLOOKUP($A33, 'course_coordinates (1)'!$A$2:$G$145, 5, FALSE)</f>
        <v>-83.297173999999998</v>
      </c>
    </row>
    <row r="34" spans="1:9" x14ac:dyDescent="0.3">
      <c r="A34" s="33" t="s">
        <v>121</v>
      </c>
      <c r="B34" s="36" t="s">
        <v>696</v>
      </c>
      <c r="C34" s="36" t="str">
        <f>VLOOKUP($B34, 'Main Data'!$B$2:$Z$131, 2, FALSE)</f>
        <v>Village of Clarkston</v>
      </c>
      <c r="D34" t="str">
        <f>VLOOKUP(B34, County!$A$2:$B$131, 2, FALSE)</f>
        <v>Oakland</v>
      </c>
      <c r="E34" s="34" t="str">
        <f>VLOOKUP($B34, 'Main Data'!$B$2:$Z$131, 4, FALSE)</f>
        <v>Public</v>
      </c>
      <c r="F34" s="34">
        <f>VLOOKUP(A34,'Google Ratings'!$A$2:$B$128, 2, FALSE)</f>
        <v>4.4000000000000004</v>
      </c>
      <c r="G34" s="34">
        <f>VLOOKUP($A34, 'Slope Ratings'!$A$2:$D$150, 3, FALSE)</f>
        <v>119</v>
      </c>
      <c r="H34" s="33">
        <f>VLOOKUP($A34, 'course_coordinates (1)'!$A$2:$D$145, 4, FALSE)</f>
        <v>42.719551000000003</v>
      </c>
      <c r="I34" s="35">
        <f>VLOOKUP($A34, 'course_coordinates (1)'!$A$2:$G$145, 5, FALSE)</f>
        <v>-83.390629000000004</v>
      </c>
    </row>
    <row r="35" spans="1:9" x14ac:dyDescent="0.3">
      <c r="A35" s="33" t="s">
        <v>245</v>
      </c>
      <c r="B35" s="36" t="s">
        <v>676</v>
      </c>
      <c r="C35" s="36" t="str">
        <f>VLOOKUP($B35, 'Main Data'!$B$2:$Z$131, 2, FALSE)</f>
        <v>Livonia</v>
      </c>
      <c r="D35" t="str">
        <f>VLOOKUP(B35, County!$A$2:$B$131, 2, FALSE)</f>
        <v>Wayne</v>
      </c>
      <c r="E35" s="34" t="str">
        <f>VLOOKUP($B35, 'Main Data'!$B$2:$Z$131, 4, FALSE)</f>
        <v>Public</v>
      </c>
      <c r="F35" s="34">
        <f>VLOOKUP(A35,'Google Ratings'!$A$2:$B$128, 2, FALSE)</f>
        <v>4.4000000000000004</v>
      </c>
      <c r="G35" s="34">
        <f>VLOOKUP($A35, 'Slope Ratings'!$A$2:$D$150, 3, FALSE)</f>
        <v>118</v>
      </c>
      <c r="H35" s="33">
        <f>VLOOKUP($A35, 'course_coordinates (1)'!$A$2:$D$145, 4, FALSE)</f>
        <v>42.427212900000001</v>
      </c>
      <c r="I35" s="35">
        <f>VLOOKUP($A35, 'course_coordinates (1)'!$A$2:$G$145, 5, FALSE)</f>
        <v>-83.398247600000005</v>
      </c>
    </row>
    <row r="36" spans="1:9" x14ac:dyDescent="0.3">
      <c r="A36" s="33" t="s">
        <v>267</v>
      </c>
      <c r="B36" s="36" t="s">
        <v>688</v>
      </c>
      <c r="C36" s="36" t="str">
        <f>VLOOKUP($B36, 'Main Data'!$B$2:$Z$131, 2, FALSE)</f>
        <v>Plymouth</v>
      </c>
      <c r="D36" t="str">
        <f>VLOOKUP(B36, County!$A$2:$B$131, 2, FALSE)</f>
        <v>Wayne</v>
      </c>
      <c r="E36" s="34" t="str">
        <f>VLOOKUP($B36, 'Main Data'!$B$2:$Z$131, 4, FALSE)</f>
        <v>Public</v>
      </c>
      <c r="F36" s="34">
        <f>VLOOKUP(A36,'Google Ratings'!$A$2:$B$128, 2, FALSE)</f>
        <v>4.5999999999999996</v>
      </c>
      <c r="G36" s="34">
        <f>VLOOKUP($A36, 'Slope Ratings'!$A$2:$D$150, 3, FALSE)</f>
        <v>125</v>
      </c>
      <c r="H36" s="33">
        <f>VLOOKUP($A36, 'course_coordinates (1)'!$A$2:$D$145, 4, FALSE)</f>
        <v>42.362858799999998</v>
      </c>
      <c r="I36" s="35">
        <f>VLOOKUP($A36, 'course_coordinates (1)'!$A$2:$G$145, 5, FALSE)</f>
        <v>-83.593107099999997</v>
      </c>
    </row>
    <row r="37" spans="1:9" x14ac:dyDescent="0.3">
      <c r="A37" s="33" t="s">
        <v>74</v>
      </c>
      <c r="B37" s="36" t="s">
        <v>626</v>
      </c>
      <c r="C37" s="36" t="str">
        <f>VLOOKUP($B37, 'Main Data'!$B$2:$Z$131, 2, FALSE)</f>
        <v>Franklin</v>
      </c>
      <c r="D37" t="str">
        <f>VLOOKUP(B37, County!$A$2:$B$131, 2, FALSE)</f>
        <v>Oakland</v>
      </c>
      <c r="E37" s="34" t="str">
        <f>VLOOKUP($B37, 'Main Data'!$B$2:$Z$131, 4, FALSE)</f>
        <v>Private</v>
      </c>
      <c r="F37" s="34">
        <f>VLOOKUP(A37,'Google Ratings'!$A$2:$B$128, 2, FALSE)</f>
        <v>4.4000000000000004</v>
      </c>
      <c r="G37" s="34">
        <f>VLOOKUP($A37, 'Slope Ratings'!$A$2:$D$150, 3, FALSE)</f>
        <v>133</v>
      </c>
      <c r="H37" s="33">
        <f>VLOOKUP($A37, 'course_coordinates (1)'!$A$2:$D$145, 4, FALSE)</f>
        <v>42.5195905</v>
      </c>
      <c r="I37" s="35">
        <f>VLOOKUP($A37, 'course_coordinates (1)'!$A$2:$G$145, 5, FALSE)</f>
        <v>-83.323321899999996</v>
      </c>
    </row>
    <row r="38" spans="1:9" x14ac:dyDescent="0.3">
      <c r="A38" s="33" t="s">
        <v>549</v>
      </c>
      <c r="B38" s="36" t="s">
        <v>697</v>
      </c>
      <c r="C38" s="36" t="str">
        <f>VLOOKUP($B38, 'Main Data'!$B$2:$Z$131, 2, FALSE)</f>
        <v>Romulus</v>
      </c>
      <c r="D38" t="str">
        <f>VLOOKUP(B38, County!$A$2:$B$131, 2, FALSE)</f>
        <v>Wayne</v>
      </c>
      <c r="E38" s="34" t="str">
        <f>VLOOKUP($B38, 'Main Data'!$B$2:$Z$131, 4, FALSE)</f>
        <v>Public</v>
      </c>
      <c r="F38" s="34">
        <f>VLOOKUP(A38,'Google Ratings'!$A$2:$B$128, 2, FALSE)</f>
        <v>4.2</v>
      </c>
      <c r="G38" s="34">
        <f>VLOOKUP($A38, 'Slope Ratings'!$A$2:$D$150, 3, FALSE)</f>
        <v>128</v>
      </c>
      <c r="H38" s="33">
        <f>VLOOKUP($A38, 'course_coordinates (1)'!$A$2:$D$145, 4, FALSE)</f>
        <v>42.266574200000001</v>
      </c>
      <c r="I38" s="35">
        <f>VLOOKUP($A38, 'course_coordinates (1)'!$A$2:$G$145, 5, FALSE)</f>
        <v>-83.363127500000004</v>
      </c>
    </row>
    <row r="39" spans="1:9" x14ac:dyDescent="0.3">
      <c r="A39" s="33" t="s">
        <v>22</v>
      </c>
      <c r="B39" s="36" t="s">
        <v>22</v>
      </c>
      <c r="C39" s="36" t="str">
        <f>VLOOKUP($B39, 'Main Data'!$B$2:$Z$131, 2, FALSE)</f>
        <v>Washington</v>
      </c>
      <c r="D39" t="str">
        <f>VLOOKUP(B39, County!$A$2:$B$131, 2, FALSE)</f>
        <v>Macomb</v>
      </c>
      <c r="E39" s="34" t="str">
        <f>VLOOKUP($B39, 'Main Data'!$B$2:$Z$131, 4, FALSE)</f>
        <v>Public</v>
      </c>
      <c r="F39" s="34">
        <f>VLOOKUP(A39,'Google Ratings'!$A$2:$B$128, 2, FALSE)</f>
        <v>0</v>
      </c>
      <c r="G39" s="34">
        <v>126</v>
      </c>
      <c r="H39" s="33">
        <f>VLOOKUP($A39, 'course_coordinates (1)'!$A$2:$D$145, 4, FALSE)</f>
        <v>42.7353138</v>
      </c>
      <c r="I39" s="35">
        <f>VLOOKUP($A39, 'course_coordinates (1)'!$A$2:$G$145, 5, FALSE)</f>
        <v>-83.038511700000001</v>
      </c>
    </row>
    <row r="40" spans="1:9" x14ac:dyDescent="0.3">
      <c r="A40" s="33" t="s">
        <v>155</v>
      </c>
      <c r="B40" s="36" t="s">
        <v>553</v>
      </c>
      <c r="C40" s="36" t="str">
        <f>VLOOKUP($B40, 'Main Data'!$B$2:$Z$131, 2, FALSE)</f>
        <v>Farmington Hills</v>
      </c>
      <c r="D40" t="str">
        <f>VLOOKUP(B40, County!$A$2:$B$131, 2, FALSE)</f>
        <v>Oakland</v>
      </c>
      <c r="E40" s="34" t="str">
        <f>VLOOKUP($B40, 'Main Data'!$B$2:$Z$131, 4, FALSE)</f>
        <v>Public</v>
      </c>
      <c r="F40" s="34">
        <f>VLOOKUP(A40,'Google Ratings'!$A$2:$B$128, 2, FALSE)</f>
        <v>4.4000000000000004</v>
      </c>
      <c r="G40" s="34">
        <f>VLOOKUP($A40, 'Slope Ratings'!$A$2:$D$150, 3, FALSE)</f>
        <v>118</v>
      </c>
      <c r="H40" s="33">
        <f>VLOOKUP($A40, 'course_coordinates (1)'!$A$2:$D$145, 4, FALSE)</f>
        <v>42.514366600000002</v>
      </c>
      <c r="I40" s="35">
        <f>VLOOKUP($A40, 'course_coordinates (1)'!$A$2:$G$145, 5, FALSE)</f>
        <v>-83.352645600000002</v>
      </c>
    </row>
    <row r="41" spans="1:9" x14ac:dyDescent="0.3">
      <c r="A41" s="33" t="s">
        <v>248</v>
      </c>
      <c r="B41" s="36" t="s">
        <v>608</v>
      </c>
      <c r="C41" s="36" t="str">
        <f>VLOOKUP($B41, 'Main Data'!$B$2:$Z$131, 2, FALSE)</f>
        <v>Redford Township</v>
      </c>
      <c r="D41" t="str">
        <f>VLOOKUP(B41, County!$A$2:$B$131, 2, FALSE)</f>
        <v>Wayne</v>
      </c>
      <c r="E41" s="34" t="str">
        <f>VLOOKUP($B41, 'Main Data'!$B$2:$Z$131, 4, FALSE)</f>
        <v>Public</v>
      </c>
      <c r="F41" s="34">
        <f>VLOOKUP(A41,'Google Ratings'!$A$2:$B$128, 2, FALSE)</f>
        <v>4.3</v>
      </c>
      <c r="G41" s="34">
        <f>VLOOKUP($A41, 'Slope Ratings'!$A$2:$D$150, 3, FALSE)</f>
        <v>109</v>
      </c>
      <c r="H41" s="33">
        <f>VLOOKUP($A41, 'course_coordinates (1)'!$A$2:$D$145, 4, FALSE)</f>
        <v>42.413930000000001</v>
      </c>
      <c r="I41" s="35">
        <f>VLOOKUP($A41, 'course_coordinates (1)'!$A$2:$G$145, 5, FALSE)</f>
        <v>-83.290976499999999</v>
      </c>
    </row>
    <row r="42" spans="1:9" x14ac:dyDescent="0.3">
      <c r="A42" s="33" t="s">
        <v>61</v>
      </c>
      <c r="B42" s="36" t="s">
        <v>592</v>
      </c>
      <c r="C42" s="36" t="str">
        <f>VLOOKUP($B42, 'Main Data'!$B$2:$Z$131, 2, FALSE)</f>
        <v>Harrison Township</v>
      </c>
      <c r="D42" t="str">
        <f>VLOOKUP(B42, County!$A$2:$B$131, 2, FALSE)</f>
        <v>Macomb</v>
      </c>
      <c r="E42" s="34" t="str">
        <f>VLOOKUP($B42, 'Main Data'!$B$2:$Z$131, 4, FALSE)</f>
        <v>Private</v>
      </c>
      <c r="F42" s="34">
        <f>VLOOKUP(A42,'Google Ratings'!$A$2:$B$128, 2, FALSE)</f>
        <v>4.7</v>
      </c>
      <c r="G42" s="34">
        <f>VLOOKUP($A42, 'Slope Ratings'!$A$2:$D$150, 3, FALSE)</f>
        <v>124</v>
      </c>
      <c r="H42" s="33">
        <f>VLOOKUP($A42, 'course_coordinates (1)'!$A$2:$D$145, 4, FALSE)</f>
        <v>42.589495300000003</v>
      </c>
      <c r="I42" s="35">
        <f>VLOOKUP($A42, 'course_coordinates (1)'!$A$2:$G$145, 5, FALSE)</f>
        <v>-82.861243900000005</v>
      </c>
    </row>
    <row r="43" spans="1:9" x14ac:dyDescent="0.3">
      <c r="A43" s="33" t="s">
        <v>76</v>
      </c>
      <c r="B43" s="36" t="s">
        <v>627</v>
      </c>
      <c r="C43" s="36" t="str">
        <f>VLOOKUP($B43, 'Main Data'!$B$2:$Z$131, 2, FALSE)</f>
        <v>Rochester Hills</v>
      </c>
      <c r="D43" t="str">
        <f>VLOOKUP(B43, County!$A$2:$B$131, 2, FALSE)</f>
        <v>Oakland</v>
      </c>
      <c r="E43" s="34" t="str">
        <f>VLOOKUP($B43, 'Main Data'!$B$2:$Z$131, 4, FALSE)</f>
        <v>Private</v>
      </c>
      <c r="F43" s="34">
        <f>VLOOKUP(A43,'Google Ratings'!$A$2:$B$128, 2, FALSE)</f>
        <v>4.5999999999999996</v>
      </c>
      <c r="G43" s="34">
        <f>VLOOKUP($A43, 'Slope Ratings'!$A$2:$D$150, 3, FALSE)</f>
        <v>131</v>
      </c>
      <c r="H43" s="33">
        <f>VLOOKUP($A43, 'course_coordinates (1)'!$A$2:$D$145, 4, FALSE)</f>
        <v>42.685236600000003</v>
      </c>
      <c r="I43" s="35">
        <f>VLOOKUP($A43, 'course_coordinates (1)'!$A$2:$G$145, 5, FALSE)</f>
        <v>-83.149237499999998</v>
      </c>
    </row>
    <row r="44" spans="1:9" x14ac:dyDescent="0.3">
      <c r="A44" s="33" t="s">
        <v>24</v>
      </c>
      <c r="B44" s="36" t="s">
        <v>593</v>
      </c>
      <c r="C44" s="36" t="str">
        <f>VLOOKUP($B44, 'Main Data'!$B$2:$Z$131, 2, FALSE)</f>
        <v>Washington</v>
      </c>
      <c r="D44" t="str">
        <f>VLOOKUP(B44, County!$A$2:$B$131, 2, FALSE)</f>
        <v>Macomb</v>
      </c>
      <c r="E44" s="34" t="str">
        <f>VLOOKUP($B44, 'Main Data'!$B$2:$Z$131, 4, FALSE)</f>
        <v>Public</v>
      </c>
      <c r="F44" s="34">
        <f>VLOOKUP(A44,'Google Ratings'!$A$2:$B$128, 2, FALSE)</f>
        <v>4.4000000000000004</v>
      </c>
      <c r="G44" s="34">
        <f>VLOOKUP($A44, 'Slope Ratings'!$A$2:$D$150, 3, FALSE)</f>
        <v>139</v>
      </c>
      <c r="H44" s="33">
        <f>VLOOKUP($A44, 'course_coordinates (1)'!$A$2:$D$145, 4, FALSE)</f>
        <v>42.792331599999997</v>
      </c>
      <c r="I44" s="35">
        <f>VLOOKUP($A44, 'course_coordinates (1)'!$A$2:$G$145, 5, FALSE)</f>
        <v>-83.057266200000001</v>
      </c>
    </row>
    <row r="45" spans="1:9" x14ac:dyDescent="0.3">
      <c r="A45" s="33" t="s">
        <v>263</v>
      </c>
      <c r="B45" s="36" t="s">
        <v>556</v>
      </c>
      <c r="C45" s="36" t="str">
        <f>VLOOKUP($B45, 'Main Data'!$B$2:$Z$131, 2, FALSE)</f>
        <v>Grosse Ile Township</v>
      </c>
      <c r="D45" t="str">
        <f>VLOOKUP(B45, County!$A$2:$B$131, 2, FALSE)</f>
        <v>Wayne</v>
      </c>
      <c r="E45" s="34" t="str">
        <f>VLOOKUP($B45, 'Main Data'!$B$2:$Z$131, 4, FALSE)</f>
        <v>Public</v>
      </c>
      <c r="F45" s="34">
        <f>VLOOKUP(A45,'Google Ratings'!$A$2:$B$128, 2, FALSE)</f>
        <v>4.5999999999999996</v>
      </c>
      <c r="G45" s="34">
        <f>VLOOKUP($A45, 'Slope Ratings'!$A$2:$D$150, 3, FALSE)</f>
        <v>127</v>
      </c>
      <c r="H45" s="33">
        <f>VLOOKUP($A45, 'course_coordinates (1)'!$A$2:$D$145, 4, FALSE)</f>
        <v>42.125564799999999</v>
      </c>
      <c r="I45" s="35">
        <f>VLOOKUP($A45, 'course_coordinates (1)'!$A$2:$G$145, 5, FALSE)</f>
        <v>-83.161568099999997</v>
      </c>
    </row>
    <row r="46" spans="1:9" x14ac:dyDescent="0.3">
      <c r="A46" s="33" t="s">
        <v>220</v>
      </c>
      <c r="B46" s="36" t="s">
        <v>667</v>
      </c>
      <c r="C46" s="36" t="str">
        <f>VLOOKUP($B46, 'Main Data'!$B$2:$Z$131, 2, FALSE)</f>
        <v>Grosse Pointe Farms</v>
      </c>
      <c r="D46" t="str">
        <f>VLOOKUP(B46, County!$A$2:$B$131, 2, FALSE)</f>
        <v>Wayne</v>
      </c>
      <c r="E46" s="34" t="str">
        <f>VLOOKUP($B46, 'Main Data'!$B$2:$Z$131, 4, FALSE)</f>
        <v>Private</v>
      </c>
      <c r="F46" s="34">
        <f>VLOOKUP(A46,'Google Ratings'!$A$2:$B$128, 2, FALSE)</f>
        <v>4.5</v>
      </c>
      <c r="G46" s="34">
        <f>VLOOKUP($A46, 'Slope Ratings'!$A$2:$D$150, 3, FALSE)</f>
        <v>105</v>
      </c>
      <c r="H46" s="33">
        <f>VLOOKUP($A46, 'course_coordinates (1)'!$A$2:$D$145, 4, FALSE)</f>
        <v>42.385981100000002</v>
      </c>
      <c r="I46" s="35">
        <f>VLOOKUP($A46, 'course_coordinates (1)'!$A$2:$G$145, 5, FALSE)</f>
        <v>-82.898042200000006</v>
      </c>
    </row>
    <row r="47" spans="1:9" x14ac:dyDescent="0.3">
      <c r="A47" s="33" t="s">
        <v>123</v>
      </c>
      <c r="B47" s="36" t="s">
        <v>645</v>
      </c>
      <c r="C47" s="36" t="str">
        <f>VLOOKUP($B47, 'Main Data'!$B$2:$Z$131, 2, FALSE)</f>
        <v>Holly</v>
      </c>
      <c r="D47" t="str">
        <f>VLOOKUP(B47, County!$A$2:$B$131, 2, FALSE)</f>
        <v>Oakland</v>
      </c>
      <c r="E47" s="34" t="str">
        <f>VLOOKUP($B47, 'Main Data'!$B$2:$Z$131, 4, FALSE)</f>
        <v>Public</v>
      </c>
      <c r="F47" s="34">
        <f>VLOOKUP(A47,'Google Ratings'!$A$2:$B$128, 2, FALSE)</f>
        <v>2.8</v>
      </c>
      <c r="G47" s="34">
        <f>VLOOKUP($A47, 'Slope Ratings'!$A$2:$D$150, 3, FALSE)</f>
        <v>124</v>
      </c>
      <c r="H47" s="33">
        <f>VLOOKUP($A47, 'course_coordinates (1)'!$A$2:$D$145, 4, FALSE)</f>
        <v>42.778806899999999</v>
      </c>
      <c r="I47" s="35">
        <f>VLOOKUP($A47, 'course_coordinates (1)'!$A$2:$G$145, 5, FALSE)</f>
        <v>-83.517701599999995</v>
      </c>
    </row>
    <row r="48" spans="1:9" x14ac:dyDescent="0.3">
      <c r="A48" s="33" t="s">
        <v>53</v>
      </c>
      <c r="B48" s="36" t="s">
        <v>621</v>
      </c>
      <c r="C48" s="36" t="str">
        <f>VLOOKUP($B48, 'Main Data'!$B$2:$Z$131, 2, FALSE)</f>
        <v>Bruce Township</v>
      </c>
      <c r="D48" t="str">
        <f>VLOOKUP(B48, County!$A$2:$B$131, 2, FALSE)</f>
        <v>Macomb</v>
      </c>
      <c r="E48" s="34" t="str">
        <f>VLOOKUP($B48, 'Main Data'!$B$2:$Z$131, 4, FALSE)</f>
        <v>Public</v>
      </c>
      <c r="F48" s="34">
        <f>VLOOKUP(A48,'Google Ratings'!$A$2:$B$128, 2, FALSE)</f>
        <v>4.5</v>
      </c>
      <c r="G48" s="34">
        <f>VLOOKUP($A48, 'Slope Ratings'!$A$2:$D$150, 3, FALSE)</f>
        <v>113</v>
      </c>
      <c r="H48" s="33">
        <f>VLOOKUP($A48, 'course_coordinates (1)'!$A$2:$D$145, 4, FALSE)</f>
        <v>42.880274999999997</v>
      </c>
      <c r="I48" s="35">
        <f>VLOOKUP($A48, 'course_coordinates (1)'!$A$2:$G$145, 5, FALSE)</f>
        <v>-83.090995000000007</v>
      </c>
    </row>
    <row r="49" spans="1:9" x14ac:dyDescent="0.3">
      <c r="A49" s="33" t="s">
        <v>78</v>
      </c>
      <c r="B49" s="36" t="s">
        <v>628</v>
      </c>
      <c r="C49" s="36" t="str">
        <f>VLOOKUP($B49, 'Main Data'!$B$2:$Z$131, 2, FALSE)</f>
        <v>Bloomfield Hills</v>
      </c>
      <c r="D49" t="str">
        <f>VLOOKUP(B49, County!$A$2:$B$131, 2, FALSE)</f>
        <v>Oakland</v>
      </c>
      <c r="E49" s="34" t="str">
        <f>VLOOKUP($B49, 'Main Data'!$B$2:$Z$131, 4, FALSE)</f>
        <v>Private</v>
      </c>
      <c r="F49" s="34">
        <f>VLOOKUP(A49,'Google Ratings'!$A$2:$B$128, 2, FALSE)</f>
        <v>4.5999999999999996</v>
      </c>
      <c r="G49" s="34">
        <f>VLOOKUP($A49, 'Slope Ratings'!$A$2:$D$150, 3, FALSE)</f>
        <v>123</v>
      </c>
      <c r="H49" s="33">
        <f>VLOOKUP($A49, 'course_coordinates (1)'!$A$2:$D$145, 4, FALSE)</f>
        <v>42.608721000000003</v>
      </c>
      <c r="I49" s="35">
        <f>VLOOKUP($A49, 'course_coordinates (1)'!$A$2:$G$145, 5, FALSE)</f>
        <v>-83.231900100000004</v>
      </c>
    </row>
    <row r="50" spans="1:9" x14ac:dyDescent="0.3">
      <c r="A50" s="33" t="s">
        <v>145</v>
      </c>
      <c r="B50" s="36" t="s">
        <v>656</v>
      </c>
      <c r="C50" s="36" t="str">
        <f>VLOOKUP($B50, 'Main Data'!$B$2:$Z$131, 2, FALSE)</f>
        <v>Wixom</v>
      </c>
      <c r="D50" t="str">
        <f>VLOOKUP(B50, County!$A$2:$B$131, 2, FALSE)</f>
        <v>Oakland</v>
      </c>
      <c r="E50" s="34" t="str">
        <f>VLOOKUP($B50, 'Main Data'!$B$2:$Z$131, 4, FALSE)</f>
        <v>Public</v>
      </c>
      <c r="F50" s="34">
        <f>VLOOKUP(A50,'Google Ratings'!$A$2:$B$128, 2, FALSE)</f>
        <v>4</v>
      </c>
      <c r="G50" s="34">
        <f>VLOOKUP($A50, 'Slope Ratings'!$A$2:$D$150, 3, FALSE)</f>
        <v>113</v>
      </c>
      <c r="H50" s="33">
        <f>VLOOKUP($A50, 'course_coordinates (1)'!$A$2:$D$145, 4, FALSE)</f>
        <v>42.555314899999999</v>
      </c>
      <c r="I50" s="35">
        <f>VLOOKUP($A50, 'course_coordinates (1)'!$A$2:$G$145, 5, FALSE)</f>
        <v>-83.522942299999997</v>
      </c>
    </row>
    <row r="51" spans="1:9" x14ac:dyDescent="0.3">
      <c r="A51" s="33" t="s">
        <v>55</v>
      </c>
      <c r="B51" s="36" t="s">
        <v>622</v>
      </c>
      <c r="C51" s="36" t="str">
        <f>VLOOKUP($B51, 'Main Data'!$B$2:$Z$131, 2, FALSE)</f>
        <v>Macomb</v>
      </c>
      <c r="D51" t="str">
        <f>VLOOKUP(B51, County!$A$2:$B$131, 2, FALSE)</f>
        <v>Macomb</v>
      </c>
      <c r="E51" s="34" t="str">
        <f>VLOOKUP($B51, 'Main Data'!$B$2:$Z$131, 4, FALSE)</f>
        <v>Public</v>
      </c>
      <c r="F51" s="34">
        <f>VLOOKUP(A51,'Google Ratings'!$A$2:$B$128, 2, FALSE)</f>
        <v>4.0999999999999996</v>
      </c>
      <c r="G51" s="34">
        <f>VLOOKUP($A51, 'Slope Ratings'!$A$2:$D$150, 3, FALSE)</f>
        <v>114</v>
      </c>
      <c r="H51" s="33">
        <f>VLOOKUP($A51, 'course_coordinates (1)'!$A$2:$D$145, 4, FALSE)</f>
        <v>42.660101900000001</v>
      </c>
      <c r="I51" s="35">
        <f>VLOOKUP($A51, 'course_coordinates (1)'!$A$2:$G$145, 5, FALSE)</f>
        <v>-82.8781587</v>
      </c>
    </row>
    <row r="52" spans="1:9" x14ac:dyDescent="0.3">
      <c r="A52" s="33" t="s">
        <v>125</v>
      </c>
      <c r="B52" s="36" t="s">
        <v>646</v>
      </c>
      <c r="C52" s="36" t="str">
        <f>VLOOKUP($B52, 'Main Data'!$B$2:$Z$131, 2, FALSE)</f>
        <v>Highland Township</v>
      </c>
      <c r="D52" t="str">
        <f>VLOOKUP(B52, County!$A$2:$B$131, 2, FALSE)</f>
        <v>Oakland</v>
      </c>
      <c r="E52" s="34" t="str">
        <f>VLOOKUP($B52, 'Main Data'!$B$2:$Z$131, 4, FALSE)</f>
        <v>Public</v>
      </c>
      <c r="F52" s="34">
        <f>VLOOKUP(A52,'Google Ratings'!$A$2:$B$128, 2, FALSE)</f>
        <v>3.5</v>
      </c>
      <c r="G52" s="34">
        <f>VLOOKUP($A52, 'Slope Ratings'!$A$2:$D$150, 3, FALSE)</f>
        <v>117</v>
      </c>
      <c r="H52" s="33">
        <f>VLOOKUP($A52, 'course_coordinates (1)'!$A$2:$D$145, 4, FALSE)</f>
        <v>42.680746200000002</v>
      </c>
      <c r="I52" s="35">
        <f>VLOOKUP($A52, 'course_coordinates (1)'!$A$2:$G$145, 5, FALSE)</f>
        <v>-83.585255599999996</v>
      </c>
    </row>
    <row r="53" spans="1:9" x14ac:dyDescent="0.3">
      <c r="A53" s="33" t="s">
        <v>270</v>
      </c>
      <c r="B53" s="36" t="s">
        <v>705</v>
      </c>
      <c r="C53" s="36" t="str">
        <f>VLOOKUP($B53, 'Main Data'!$B$2:$Z$131, 2, FALSE)</f>
        <v>Plymouth</v>
      </c>
      <c r="D53" t="str">
        <f>VLOOKUP(B53, County!$A$2:$B$131, 2, FALSE)</f>
        <v>Wayne</v>
      </c>
      <c r="E53" s="34" t="str">
        <f>VLOOKUP($B53, 'Main Data'!$B$2:$Z$131, 4, FALSE)</f>
        <v>Public</v>
      </c>
      <c r="F53" s="34">
        <f>VLOOKUP(A53,'Google Ratings'!$A$2:$B$128, 2, FALSE)</f>
        <v>3.7</v>
      </c>
      <c r="G53" s="34">
        <f>VLOOKUP($A53, 'Slope Ratings'!$A$2:$D$150, 3, FALSE)</f>
        <v>119</v>
      </c>
      <c r="H53" s="33">
        <f>VLOOKUP($A53, 'course_coordinates (1)'!$A$2:$D$145, 4, FALSE)</f>
        <v>42.365600499999999</v>
      </c>
      <c r="I53" s="35">
        <f>VLOOKUP($A53, 'course_coordinates (1)'!$A$2:$G$145, 5, FALSE)</f>
        <v>-83.504638600000007</v>
      </c>
    </row>
    <row r="54" spans="1:9" x14ac:dyDescent="0.3">
      <c r="A54" s="33" t="s">
        <v>251</v>
      </c>
      <c r="B54" s="36" t="s">
        <v>677</v>
      </c>
      <c r="C54" s="36" t="str">
        <f>VLOOKUP($B54, 'Main Data'!$B$2:$Z$131, 2, FALSE)</f>
        <v>Livonia</v>
      </c>
      <c r="D54" t="str">
        <f>VLOOKUP(B54, County!$A$2:$B$131, 2, FALSE)</f>
        <v>Wayne</v>
      </c>
      <c r="E54" s="34" t="str">
        <f>VLOOKUP($B54, 'Main Data'!$B$2:$Z$131, 4, FALSE)</f>
        <v>Public</v>
      </c>
      <c r="F54" s="34">
        <f>VLOOKUP(A54,'Google Ratings'!$A$2:$B$128, 2, FALSE)</f>
        <v>3.8</v>
      </c>
      <c r="G54" s="34">
        <f>VLOOKUP($A54, 'Slope Ratings'!$A$2:$D$150, 3, FALSE)</f>
        <v>111</v>
      </c>
      <c r="H54" s="33">
        <f>VLOOKUP($A54, 'course_coordinates (1)'!$A$2:$D$145, 4, FALSE)</f>
        <v>42.397714399999998</v>
      </c>
      <c r="I54" s="35">
        <f>VLOOKUP($A54, 'course_coordinates (1)'!$A$2:$G$145, 5, FALSE)</f>
        <v>-83.396897999999993</v>
      </c>
    </row>
    <row r="55" spans="1:9" x14ac:dyDescent="0.3">
      <c r="A55" s="33" t="s">
        <v>127</v>
      </c>
      <c r="B55" s="36" t="s">
        <v>647</v>
      </c>
      <c r="C55" s="36" t="str">
        <f>VLOOKUP($B55, 'Main Data'!$B$2:$Z$131, 2, FALSE)</f>
        <v>White Lake</v>
      </c>
      <c r="D55" t="str">
        <f>VLOOKUP(B55, County!$A$2:$B$131, 2, FALSE)</f>
        <v>Oakland</v>
      </c>
      <c r="E55" s="34" t="str">
        <f>VLOOKUP($B55, 'Main Data'!$B$2:$Z$131, 4, FALSE)</f>
        <v>Public</v>
      </c>
      <c r="F55" s="34">
        <f>VLOOKUP(A55,'Google Ratings'!$A$2:$B$128, 2, FALSE)</f>
        <v>4.2</v>
      </c>
      <c r="G55" s="34">
        <f>VLOOKUP($A55, 'Slope Ratings'!$A$2:$D$150, 3, FALSE)</f>
        <v>120</v>
      </c>
      <c r="H55" s="33">
        <f>VLOOKUP($A55, 'course_coordinates (1)'!$A$2:$D$145, 4, FALSE)</f>
        <v>42.701270600000001</v>
      </c>
      <c r="I55" s="35">
        <f>VLOOKUP($A55, 'course_coordinates (1)'!$A$2:$G$145, 5, FALSE)</f>
        <v>-83.489377399999995</v>
      </c>
    </row>
    <row r="56" spans="1:9" x14ac:dyDescent="0.3">
      <c r="A56" s="33" t="s">
        <v>79</v>
      </c>
      <c r="B56" s="36" t="s">
        <v>698</v>
      </c>
      <c r="C56" s="36" t="str">
        <f>VLOOKUP($B56, 'Main Data'!$B$2:$Z$131, 2, FALSE)</f>
        <v>Lake Orion</v>
      </c>
      <c r="D56" t="str">
        <f>VLOOKUP(B56, County!$A$2:$B$131, 2, FALSE)</f>
        <v>Oakland</v>
      </c>
      <c r="E56" s="34" t="str">
        <f>VLOOKUP($B56, 'Main Data'!$B$2:$Z$131, 4, FALSE)</f>
        <v>Private</v>
      </c>
      <c r="F56" s="34">
        <f>VLOOKUP(A56,'Google Ratings'!$A$2:$B$128, 2, FALSE)</f>
        <v>4.5999999999999996</v>
      </c>
      <c r="G56" s="34">
        <f>VLOOKUP($A56, 'Slope Ratings'!$A$2:$D$150, 3, FALSE)</f>
        <v>133</v>
      </c>
      <c r="H56" s="33">
        <f>VLOOKUP($A56, 'course_coordinates (1)'!$A$2:$D$145, 4, FALSE)</f>
        <v>42.788350299999998</v>
      </c>
      <c r="I56" s="35">
        <f>VLOOKUP($A56, 'course_coordinates (1)'!$A$2:$G$145, 5, FALSE)</f>
        <v>-83.267534999999995</v>
      </c>
    </row>
    <row r="57" spans="1:9" x14ac:dyDescent="0.3">
      <c r="A57" s="33" t="s">
        <v>587</v>
      </c>
      <c r="B57" s="36" t="s">
        <v>682</v>
      </c>
      <c r="C57" s="36" t="str">
        <f>VLOOKUP($B57, 'Main Data'!$B$2:$Z$131, 2, FALSE)</f>
        <v>Inkster</v>
      </c>
      <c r="D57" t="str">
        <f>VLOOKUP(B57, County!$A$2:$B$131, 2, FALSE)</f>
        <v>Wayne</v>
      </c>
      <c r="E57" s="34" t="str">
        <f>VLOOKUP($B57, 'Main Data'!$B$2:$Z$131, 4, FALSE)</f>
        <v>Public</v>
      </c>
      <c r="F57" s="34">
        <f>VLOOKUP(A57,'Google Ratings'!$A$2:$B$128, 2, FALSE)</f>
        <v>3.7</v>
      </c>
      <c r="G57" s="34">
        <f>VLOOKUP($A57, 'Slope Ratings'!$A$2:$D$150, 3, FALSE)</f>
        <v>133</v>
      </c>
      <c r="H57" s="33">
        <f>VLOOKUP($A57, 'course_coordinates (1)'!$A$2:$D$145, 4, FALSE)</f>
        <v>42.294133899999999</v>
      </c>
      <c r="I57" s="35">
        <f>VLOOKUP($A57, 'course_coordinates (1)'!$A$2:$G$145, 5, FALSE)</f>
        <v>-83.331895599999996</v>
      </c>
    </row>
    <row r="58" spans="1:9" x14ac:dyDescent="0.3">
      <c r="A58" s="33" t="s">
        <v>578</v>
      </c>
      <c r="B58" s="36" t="s">
        <v>601</v>
      </c>
      <c r="C58" s="36" t="str">
        <f>VLOOKUP($B58, 'Main Data'!$B$2:$Z$131, 2, FALSE)</f>
        <v>Rochester Hills</v>
      </c>
      <c r="D58" t="str">
        <f>VLOOKUP(B58, County!$A$2:$B$131, 2, FALSE)</f>
        <v>Oakland</v>
      </c>
      <c r="E58" s="34" t="str">
        <f>VLOOKUP($B58, 'Main Data'!$B$2:$Z$131, 4, FALSE)</f>
        <v>Private</v>
      </c>
      <c r="F58" s="34">
        <f>VLOOKUP(A58,'Google Ratings'!$A$2:$B$128, 2, FALSE)</f>
        <v>4.7</v>
      </c>
      <c r="G58" s="34">
        <f>VLOOKUP($A58, 'Slope Ratings'!$A$2:$D$150, 3, FALSE)</f>
        <v>140</v>
      </c>
      <c r="H58" s="33">
        <f>VLOOKUP($A58, 'course_coordinates (1)'!$A$2:$D$145, 4, FALSE)</f>
        <v>42.664302800000002</v>
      </c>
      <c r="I58" s="35">
        <f>VLOOKUP($A58, 'course_coordinates (1)'!$A$2:$G$145, 5, FALSE)</f>
        <v>-83.203569700000003</v>
      </c>
    </row>
    <row r="59" spans="1:9" x14ac:dyDescent="0.3">
      <c r="A59" s="33" t="s">
        <v>81</v>
      </c>
      <c r="B59" s="36" t="s">
        <v>598</v>
      </c>
      <c r="C59" s="36" t="str">
        <f>VLOOKUP($B59, 'Main Data'!$B$2:$Z$131, 2, FALSE)</f>
        <v>West Bloomfield Township</v>
      </c>
      <c r="D59" t="str">
        <f>VLOOKUP(B59, County!$A$2:$B$131, 2, FALSE)</f>
        <v>Oakland</v>
      </c>
      <c r="E59" s="34" t="str">
        <f>VLOOKUP($B59, 'Main Data'!$B$2:$Z$131, 4, FALSE)</f>
        <v>Private</v>
      </c>
      <c r="F59" s="34">
        <f>VLOOKUP(A59,'Google Ratings'!$A$2:$B$128, 2, FALSE)</f>
        <v>4.7</v>
      </c>
      <c r="G59" s="34">
        <f>VLOOKUP($A59, 'Slope Ratings'!$A$2:$D$150, 3, FALSE)</f>
        <v>128</v>
      </c>
      <c r="H59" s="33">
        <f>VLOOKUP($A59, 'course_coordinates (1)'!$A$2:$D$145, 4, FALSE)</f>
        <v>42.544702100000002</v>
      </c>
      <c r="I59" s="35">
        <f>VLOOKUP($A59, 'course_coordinates (1)'!$A$2:$G$145, 5, FALSE)</f>
        <v>-83.328326899999993</v>
      </c>
    </row>
    <row r="60" spans="1:9" x14ac:dyDescent="0.3">
      <c r="A60" s="33" t="s">
        <v>230</v>
      </c>
      <c r="B60" s="36" t="s">
        <v>670</v>
      </c>
      <c r="C60" s="36" t="str">
        <f>VLOOKUP($B60, 'Main Data'!$B$2:$Z$131, 2, FALSE)</f>
        <v>Brownstown Township</v>
      </c>
      <c r="D60" t="str">
        <f>VLOOKUP(B60, County!$A$2:$B$131, 2, FALSE)</f>
        <v>Wayne</v>
      </c>
      <c r="E60" s="34" t="str">
        <f>VLOOKUP($B60, 'Main Data'!$B$2:$Z$131, 4, FALSE)</f>
        <v>Public</v>
      </c>
      <c r="F60" s="34">
        <f>VLOOKUP(A60,'Google Ratings'!$A$2:$B$128, 2, FALSE)</f>
        <v>4.3</v>
      </c>
      <c r="G60" s="34">
        <f>VLOOKUP($A60, 'Slope Ratings'!$A$2:$D$150, 3, FALSE)</f>
        <v>117</v>
      </c>
      <c r="H60" s="33">
        <f>VLOOKUP($A60, 'course_coordinates (1)'!$A$2:$D$145, 4, FALSE)</f>
        <v>42.054071999999998</v>
      </c>
      <c r="I60" s="35">
        <f>VLOOKUP($A60, 'course_coordinates (1)'!$A$2:$G$145, 5, FALSE)</f>
        <v>-83.199972000000002</v>
      </c>
    </row>
    <row r="61" spans="1:9" x14ac:dyDescent="0.3">
      <c r="A61" s="33" t="s">
        <v>253</v>
      </c>
      <c r="B61" s="36" t="s">
        <v>699</v>
      </c>
      <c r="C61" s="36" t="str">
        <f>VLOOKUP($B61, 'Main Data'!$B$2:$Z$131, 2, FALSE)</f>
        <v>Taylor</v>
      </c>
      <c r="D61" t="str">
        <f>VLOOKUP(B61, County!$A$2:$B$131, 2, FALSE)</f>
        <v>Wayne</v>
      </c>
      <c r="E61" s="34" t="str">
        <f>VLOOKUP($B61, 'Main Data'!$B$2:$Z$131, 4, FALSE)</f>
        <v>Public</v>
      </c>
      <c r="F61" s="34">
        <f>VLOOKUP(A61,'Google Ratings'!$A$2:$B$128, 2, FALSE)</f>
        <v>4.3</v>
      </c>
      <c r="G61" s="34">
        <f>VLOOKUP($A61, 'Slope Ratings'!$A$2:$D$150, 3, FALSE)</f>
        <v>132</v>
      </c>
      <c r="H61" s="33">
        <f>VLOOKUP($A61, 'course_coordinates (1)'!$A$2:$D$145, 4, FALSE)</f>
        <v>42.2099154</v>
      </c>
      <c r="I61" s="35">
        <f>VLOOKUP($A61, 'course_coordinates (1)'!$A$2:$G$145, 5, FALSE)</f>
        <v>-83.2832109</v>
      </c>
    </row>
    <row r="62" spans="1:9" x14ac:dyDescent="0.3">
      <c r="A62" s="33" t="s">
        <v>159</v>
      </c>
      <c r="B62" s="36" t="s">
        <v>660</v>
      </c>
      <c r="C62" s="36" t="str">
        <f>VLOOKUP($B62, 'Main Data'!$B$2:$Z$131, 2, FALSE)</f>
        <v>Birmingham</v>
      </c>
      <c r="D62" t="str">
        <f>VLOOKUP(B62, County!$A$2:$B$131, 2, FALSE)</f>
        <v>Oakland</v>
      </c>
      <c r="E62" s="34" t="str">
        <f>VLOOKUP($B62, 'Main Data'!$B$2:$Z$131, 4, FALSE)</f>
        <v>Public</v>
      </c>
      <c r="F62" s="34">
        <f>VLOOKUP(A62,'Google Ratings'!$A$2:$B$128, 2, FALSE)</f>
        <v>4.3</v>
      </c>
      <c r="G62" s="34">
        <f>VLOOKUP($A62, 'Slope Ratings'!$A$2:$D$150, 3, FALSE)</f>
        <v>110</v>
      </c>
      <c r="H62" s="33">
        <f>VLOOKUP($A62, 'course_coordinates (1)'!$A$2:$D$145, 4, FALSE)</f>
        <v>42.531310499999996</v>
      </c>
      <c r="I62" s="35">
        <f>VLOOKUP($A62, 'course_coordinates (1)'!$A$2:$G$145, 5, FALSE)</f>
        <v>-83.2476032</v>
      </c>
    </row>
    <row r="63" spans="1:9" x14ac:dyDescent="0.3">
      <c r="A63" s="33" t="s">
        <v>161</v>
      </c>
      <c r="B63" s="36" t="s">
        <v>161</v>
      </c>
      <c r="C63" s="36" t="str">
        <f>VLOOKUP($B63, 'Main Data'!$B$2:$Z$131, 2, FALSE)</f>
        <v>Novi</v>
      </c>
      <c r="D63" t="str">
        <f>VLOOKUP(B63, County!$A$2:$B$131, 2, FALSE)</f>
        <v>Oakland</v>
      </c>
      <c r="E63" s="34" t="str">
        <f>VLOOKUP($B63, 'Main Data'!$B$2:$Z$131, 4, FALSE)</f>
        <v>Public</v>
      </c>
      <c r="F63" s="34">
        <f>VLOOKUP(A63,'Google Ratings'!$A$2:$B$128, 2, FALSE)</f>
        <v>4.2</v>
      </c>
      <c r="G63" s="34">
        <f>VLOOKUP($A63, 'Slope Ratings'!$A$2:$D$150, 3, FALSE)</f>
        <v>127</v>
      </c>
      <c r="H63" s="33">
        <f>VLOOKUP($A63, 'course_coordinates (1)'!$A$2:$D$145, 4, FALSE)</f>
        <v>42.462790499999997</v>
      </c>
      <c r="I63" s="35">
        <f>VLOOKUP($A63, 'course_coordinates (1)'!$A$2:$G$145, 5, FALSE)</f>
        <v>-83.543694799999997</v>
      </c>
    </row>
    <row r="64" spans="1:9" x14ac:dyDescent="0.3">
      <c r="A64" s="33" t="s">
        <v>221</v>
      </c>
      <c r="B64" s="36" t="s">
        <v>700</v>
      </c>
      <c r="C64" s="36" t="str">
        <f>VLOOKUP($B64, 'Main Data'!$B$2:$Z$131, 2, FALSE)</f>
        <v>Grosse Pointe Woods</v>
      </c>
      <c r="D64" t="str">
        <f>VLOOKUP(B64, County!$A$2:$B$131, 2, FALSE)</f>
        <v>Wayne</v>
      </c>
      <c r="E64" s="34" t="str">
        <f>VLOOKUP($B64, 'Main Data'!$B$2:$Z$131, 4, FALSE)</f>
        <v>Private</v>
      </c>
      <c r="F64" s="34">
        <f>VLOOKUP(A64,'Google Ratings'!$A$2:$B$128, 2, FALSE)</f>
        <v>4.5</v>
      </c>
      <c r="G64" s="34">
        <f>VLOOKUP($A64, 'Slope Ratings'!$A$2:$D$150, 3, FALSE)</f>
        <v>127</v>
      </c>
      <c r="H64" s="33">
        <f>VLOOKUP($A64, 'course_coordinates (1)'!$A$2:$D$145, 4, FALSE)</f>
        <v>42.436412799999999</v>
      </c>
      <c r="I64" s="35">
        <f>VLOOKUP($A64, 'course_coordinates (1)'!$A$2:$G$145, 5, FALSE)</f>
        <v>-82.894256499999997</v>
      </c>
    </row>
    <row r="65" spans="1:9" x14ac:dyDescent="0.3">
      <c r="A65" s="33" t="s">
        <v>128</v>
      </c>
      <c r="B65" s="36" t="s">
        <v>648</v>
      </c>
      <c r="C65" s="36" t="str">
        <f>VLOOKUP($B65, 'Main Data'!$B$2:$Z$131, 2, FALSE)</f>
        <v>Wixom</v>
      </c>
      <c r="D65" t="str">
        <f>VLOOKUP(B65, County!$A$2:$B$131, 2, FALSE)</f>
        <v>Oakland</v>
      </c>
      <c r="E65" s="34" t="str">
        <f>VLOOKUP($B65, 'Main Data'!$B$2:$Z$131, 4, FALSE)</f>
        <v>Public</v>
      </c>
      <c r="F65" s="34">
        <f>VLOOKUP(A65,'Google Ratings'!$A$2:$B$128, 2, FALSE)</f>
        <v>4.2</v>
      </c>
      <c r="G65" s="34">
        <f>VLOOKUP($A65, 'Slope Ratings'!$A$2:$D$150, 3, FALSE)</f>
        <v>131</v>
      </c>
      <c r="H65" s="33">
        <f>VLOOKUP($A65, 'course_coordinates (1)'!$A$2:$D$145, 4, FALSE)</f>
        <v>42.519966099999998</v>
      </c>
      <c r="I65" s="35">
        <f>VLOOKUP($A65, 'course_coordinates (1)'!$A$2:$G$145, 5, FALSE)</f>
        <v>-83.570589400000003</v>
      </c>
    </row>
    <row r="66" spans="1:9" x14ac:dyDescent="0.3">
      <c r="A66" s="33" t="s">
        <v>240</v>
      </c>
      <c r="B66" s="36" t="s">
        <v>674</v>
      </c>
      <c r="C66" s="36" t="str">
        <f>VLOOKUP($B66, 'Main Data'!$B$2:$Z$131, 2, FALSE)</f>
        <v>Westland</v>
      </c>
      <c r="D66" t="str">
        <f>VLOOKUP(B66, County!$A$2:$B$131, 2, FALSE)</f>
        <v>Wayne</v>
      </c>
      <c r="E66" s="34" t="str">
        <f>VLOOKUP($B66, 'Main Data'!$B$2:$Z$131, 4, FALSE)</f>
        <v>Public</v>
      </c>
      <c r="F66" s="34">
        <f>VLOOKUP(A66,'Google Ratings'!$A$2:$B$128, 2, FALSE)</f>
        <v>4.0999999999999996</v>
      </c>
      <c r="G66" s="34">
        <f>VLOOKUP($A66, 'Slope Ratings'!$A$2:$D$150, 3, FALSE)</f>
        <v>102</v>
      </c>
      <c r="H66" s="33">
        <f>VLOOKUP($A66, 'course_coordinates (1)'!$A$2:$D$145, 4, FALSE)</f>
        <v>42.306533600000002</v>
      </c>
      <c r="I66" s="35">
        <f>VLOOKUP($A66, 'course_coordinates (1)'!$A$2:$G$145, 5, FALSE)</f>
        <v>-83.350247300000007</v>
      </c>
    </row>
    <row r="67" spans="1:9" x14ac:dyDescent="0.3">
      <c r="A67" s="33" t="s">
        <v>589</v>
      </c>
      <c r="B67" s="36" t="s">
        <v>612</v>
      </c>
      <c r="C67" s="36" t="str">
        <f>VLOOKUP($B67, 'Main Data'!$B$2:$Z$131, 2, FALSE)</f>
        <v>Sterling Heights</v>
      </c>
      <c r="D67" t="str">
        <f>VLOOKUP(B67, County!$A$2:$B$131, 2, FALSE)</f>
        <v>Macomb</v>
      </c>
      <c r="E67" s="34" t="str">
        <f>VLOOKUP($B67, 'Main Data'!$B$2:$Z$131, 4, FALSE)</f>
        <v>Public</v>
      </c>
      <c r="F67" s="34">
        <f>VLOOKUP(A67,'Google Ratings'!$A$2:$B$128, 2, FALSE)</f>
        <v>4</v>
      </c>
      <c r="G67" s="34">
        <f>VLOOKUP($A67, 'Slope Ratings'!$A$2:$D$150, 3, FALSE)</f>
        <v>111</v>
      </c>
      <c r="H67" s="33">
        <f>VLOOKUP($A67, 'course_coordinates (1)'!$A$2:$D$145, 4, FALSE)</f>
        <v>42.537973299999997</v>
      </c>
      <c r="I67" s="35">
        <f>VLOOKUP($A67, 'course_coordinates (1)'!$A$2:$G$145, 5, FALSE)</f>
        <v>-83.007484899999994</v>
      </c>
    </row>
    <row r="68" spans="1:9" x14ac:dyDescent="0.3">
      <c r="A68" s="33" t="s">
        <v>164</v>
      </c>
      <c r="B68" s="36" t="s">
        <v>661</v>
      </c>
      <c r="C68" s="36" t="str">
        <f>VLOOKUP($B68, 'Main Data'!$B$2:$Z$131, 2, FALSE)</f>
        <v>Novi</v>
      </c>
      <c r="D68" t="str">
        <f>VLOOKUP(B68, County!$A$2:$B$131, 2, FALSE)</f>
        <v>Oakland</v>
      </c>
      <c r="E68" s="34" t="str">
        <f>VLOOKUP($B68, 'Main Data'!$B$2:$Z$131, 4, FALSE)</f>
        <v>Public</v>
      </c>
      <c r="F68" s="34">
        <f>VLOOKUP(A68,'Google Ratings'!$A$2:$B$128, 2, FALSE)</f>
        <v>4</v>
      </c>
      <c r="G68" s="34">
        <f>VLOOKUP($A68, 'Slope Ratings'!$A$2:$D$150, 3, FALSE)</f>
        <v>112</v>
      </c>
      <c r="H68" s="33">
        <f>VLOOKUP($A68, 'course_coordinates (1)'!$A$2:$D$145, 4, FALSE)</f>
        <v>42.525914800000002</v>
      </c>
      <c r="I68" s="35">
        <f>VLOOKUP($A68, 'course_coordinates (1)'!$A$2:$G$145, 5, FALSE)</f>
        <v>-83.458842200000007</v>
      </c>
    </row>
    <row r="69" spans="1:9" x14ac:dyDescent="0.3">
      <c r="A69" s="33" t="s">
        <v>591</v>
      </c>
      <c r="B69" s="36" t="s">
        <v>613</v>
      </c>
      <c r="C69" s="36" t="str">
        <f>VLOOKUP($B69, 'Main Data'!$B$2:$Z$131, 2, FALSE)</f>
        <v>New Haven</v>
      </c>
      <c r="D69" t="str">
        <f>VLOOKUP(B69, County!$A$2:$B$131, 2, FALSE)</f>
        <v>Macomb</v>
      </c>
      <c r="E69" s="34" t="str">
        <f>VLOOKUP($B69, 'Main Data'!$B$2:$Z$131, 4, FALSE)</f>
        <v>Public</v>
      </c>
      <c r="F69" s="34">
        <f>VLOOKUP(A69,'Google Ratings'!$A$2:$B$128, 2, FALSE)</f>
        <v>3.2</v>
      </c>
      <c r="G69" s="34">
        <f>VLOOKUP($A69, 'Slope Ratings'!$A$2:$D$150, 3, FALSE)</f>
        <v>131</v>
      </c>
      <c r="H69" s="33">
        <f>VLOOKUP($A69, 'course_coordinates (1)'!$A$2:$D$145, 4, FALSE)</f>
        <v>42.723056700000001</v>
      </c>
      <c r="I69" s="35">
        <f>VLOOKUP($A69, 'course_coordinates (1)'!$A$2:$G$145, 5, FALSE)</f>
        <v>-82.757110499999996</v>
      </c>
    </row>
    <row r="70" spans="1:9" x14ac:dyDescent="0.3">
      <c r="A70" s="33" t="s">
        <v>543</v>
      </c>
      <c r="B70" s="36" t="s">
        <v>701</v>
      </c>
      <c r="C70" s="36" t="str">
        <f>VLOOKUP($B70, 'Main Data'!$B$2:$Z$131, 2, FALSE)</f>
        <v>Northville</v>
      </c>
      <c r="D70" t="str">
        <f>VLOOKUP(B70, County!$A$2:$B$131, 2, FALSE)</f>
        <v>Wayne</v>
      </c>
      <c r="E70" s="34" t="str">
        <f>VLOOKUP($B70, 'Main Data'!$B$2:$Z$131, 4, FALSE)</f>
        <v>Private</v>
      </c>
      <c r="F70" s="34">
        <f>VLOOKUP(A70,'Google Ratings'!$A$2:$B$128, 2, FALSE)</f>
        <v>4.7</v>
      </c>
      <c r="G70" s="34">
        <f>VLOOKUP($A70, 'Slope Ratings'!$A$2:$D$150, 3, FALSE)</f>
        <v>142</v>
      </c>
      <c r="H70" s="33">
        <f>VLOOKUP($A70, 'course_coordinates (1)'!$A$2:$D$145, 4, FALSE)</f>
        <v>42.437733999999999</v>
      </c>
      <c r="I70" s="35">
        <f>VLOOKUP($A70, 'course_coordinates (1)'!$A$2:$G$145, 5, FALSE)</f>
        <v>-83.446752000000004</v>
      </c>
    </row>
    <row r="71" spans="1:9" x14ac:dyDescent="0.3">
      <c r="A71" s="33" t="s">
        <v>130</v>
      </c>
      <c r="B71" s="36" t="s">
        <v>649</v>
      </c>
      <c r="C71" s="36" t="str">
        <f>VLOOKUP($B71, 'Main Data'!$B$2:$Z$131, 2, FALSE)</f>
        <v>Milford</v>
      </c>
      <c r="D71" t="str">
        <f>VLOOKUP(B71, County!$A$2:$B$131, 2, FALSE)</f>
        <v>Oakland</v>
      </c>
      <c r="E71" s="34" t="str">
        <f>VLOOKUP($B71, 'Main Data'!$B$2:$Z$131, 4, FALSE)</f>
        <v>Public</v>
      </c>
      <c r="F71" s="34">
        <f>VLOOKUP(A71,'Google Ratings'!$A$2:$B$128, 2, FALSE)</f>
        <v>4.2</v>
      </c>
      <c r="G71" s="34">
        <f>VLOOKUP($A71, 'Slope Ratings'!$A$2:$D$150, 3, FALSE)</f>
        <v>129</v>
      </c>
      <c r="H71" s="33">
        <f>VLOOKUP($A71, 'course_coordinates (1)'!$A$2:$D$145, 4, FALSE)</f>
        <v>42.588615500000003</v>
      </c>
      <c r="I71" s="35">
        <f>VLOOKUP($A71, 'course_coordinates (1)'!$A$2:$G$145, 5, FALSE)</f>
        <v>-83.629963700000005</v>
      </c>
    </row>
    <row r="72" spans="1:9" x14ac:dyDescent="0.3">
      <c r="A72" s="33" t="s">
        <v>132</v>
      </c>
      <c r="B72" s="36" t="s">
        <v>711</v>
      </c>
      <c r="C72" s="36" t="str">
        <f>VLOOKUP($B72, 'Main Data'!$B$2:$Z$131, 2, FALSE)</f>
        <v>Oakland Township</v>
      </c>
      <c r="D72" t="str">
        <f>VLOOKUP(B72, County!$A$2:$B$131, 2, FALSE)</f>
        <v>Oakland</v>
      </c>
      <c r="E72" s="34" t="str">
        <f>VLOOKUP($B72, 'Main Data'!$B$2:$Z$131, 4, FALSE)</f>
        <v>Public</v>
      </c>
      <c r="F72" s="34">
        <f>VLOOKUP(A72,'Google Ratings'!$A$2:$B$128, 2, FALSE)</f>
        <v>3.3</v>
      </c>
      <c r="G72" s="34">
        <f>VLOOKUP($A72, 'Slope Ratings'!$A$2:$D$150, 3, FALSE)</f>
        <v>119</v>
      </c>
      <c r="H72" s="33">
        <f>VLOOKUP($A72, 'course_coordinates (1)'!$A$2:$D$145, 4, FALSE)</f>
        <v>42.7707932</v>
      </c>
      <c r="I72" s="35">
        <f>VLOOKUP($A72, 'course_coordinates (1)'!$A$2:$G$145, 5, FALSE)</f>
        <v>-83.157997199999997</v>
      </c>
    </row>
    <row r="73" spans="1:9" x14ac:dyDescent="0.3">
      <c r="A73" s="33" t="s">
        <v>272</v>
      </c>
      <c r="B73" s="36" t="s">
        <v>689</v>
      </c>
      <c r="C73" s="36" t="str">
        <f>VLOOKUP($B73, 'Main Data'!$B$2:$Z$131, 2, FALSE)</f>
        <v>Northville</v>
      </c>
      <c r="D73" t="str">
        <f>VLOOKUP(B73, County!$A$2:$B$131, 2, FALSE)</f>
        <v>Wayne</v>
      </c>
      <c r="E73" s="34" t="str">
        <f>VLOOKUP($B73, 'Main Data'!$B$2:$Z$131, 4, FALSE)</f>
        <v>Public</v>
      </c>
      <c r="F73" s="34">
        <f>VLOOKUP(A73,'Google Ratings'!$A$2:$B$128, 2, FALSE)</f>
        <v>4.4000000000000004</v>
      </c>
      <c r="G73" s="34">
        <f>VLOOKUP($A73, 'Slope Ratings'!$A$2:$D$150, 3, FALSE)</f>
        <v>132</v>
      </c>
      <c r="H73" s="33">
        <f>VLOOKUP($A73, 'course_coordinates (1)'!$A$2:$D$145, 4, FALSE)</f>
        <v>42.400437400000001</v>
      </c>
      <c r="I73" s="35">
        <f>VLOOKUP($A73, 'course_coordinates (1)'!$A$2:$G$145, 5, FALSE)</f>
        <v>-83.495900599999999</v>
      </c>
    </row>
    <row r="74" spans="1:9" x14ac:dyDescent="0.3">
      <c r="A74" s="33" t="s">
        <v>178</v>
      </c>
      <c r="B74" s="36" t="s">
        <v>599</v>
      </c>
      <c r="C74" s="36" t="str">
        <f>VLOOKUP($B74, 'Main Data'!$B$2:$Z$131, 2, FALSE)</f>
        <v>Village of Clarkston</v>
      </c>
      <c r="D74" t="str">
        <f>VLOOKUP(B74, County!$A$2:$B$131, 2, FALSE)</f>
        <v>Oakland</v>
      </c>
      <c r="E74" s="34" t="str">
        <f>VLOOKUP($B74, 'Main Data'!$B$2:$Z$131, 4, FALSE)</f>
        <v>Private</v>
      </c>
      <c r="F74" s="34">
        <f>VLOOKUP(A74,'Google Ratings'!$A$2:$B$128, 2, FALSE)</f>
        <v>4.5</v>
      </c>
      <c r="G74" s="34">
        <f>VLOOKUP($A74, 'Slope Ratings'!$A$2:$D$150, 3, FALSE)</f>
        <v>132</v>
      </c>
      <c r="H74" s="33">
        <f>VLOOKUP($A74, 'course_coordinates (1)'!$A$2:$D$145, 4, FALSE)</f>
        <v>42.743091800000002</v>
      </c>
      <c r="I74" s="35">
        <f>VLOOKUP($A74, 'course_coordinates (1)'!$A$2:$G$145, 5, FALSE)</f>
        <v>-83.346921199999997</v>
      </c>
    </row>
    <row r="75" spans="1:9" x14ac:dyDescent="0.3">
      <c r="A75" s="33" t="s">
        <v>84</v>
      </c>
      <c r="B75" s="36" t="s">
        <v>629</v>
      </c>
      <c r="C75" s="36" t="str">
        <f>VLOOKUP($B75, 'Main Data'!$B$2:$Z$131, 2, FALSE)</f>
        <v>Bloomfield Hills</v>
      </c>
      <c r="D75" t="str">
        <f>VLOOKUP(B75, County!$A$2:$B$131, 2, FALSE)</f>
        <v>Oakland</v>
      </c>
      <c r="E75" s="34" t="str">
        <f>VLOOKUP($B75, 'Main Data'!$B$2:$Z$131, 4, FALSE)</f>
        <v>Private</v>
      </c>
      <c r="F75" s="34">
        <f>VLOOKUP(A75,'Google Ratings'!$A$2:$B$128, 2, FALSE)</f>
        <v>4.8</v>
      </c>
      <c r="G75" s="34">
        <f>VLOOKUP($A75, 'Slope Ratings'!$A$2:$D$150, 3, FALSE)</f>
        <v>137</v>
      </c>
      <c r="H75" s="33">
        <f>VLOOKUP($A75, 'course_coordinates (1)'!$A$2:$D$145, 4, FALSE)</f>
        <v>42.5438957</v>
      </c>
      <c r="I75" s="35">
        <f>VLOOKUP($A75, 'course_coordinates (1)'!$A$2:$G$145, 5, FALSE)</f>
        <v>-83.277687</v>
      </c>
    </row>
    <row r="76" spans="1:9" x14ac:dyDescent="0.3">
      <c r="A76" s="33" t="s">
        <v>87</v>
      </c>
      <c r="B76" s="36" t="s">
        <v>630</v>
      </c>
      <c r="C76" s="36" t="str">
        <f>VLOOKUP($B76, 'Main Data'!$B$2:$Z$131, 2, FALSE)</f>
        <v>West Bloomfield Township</v>
      </c>
      <c r="D76" t="str">
        <f>VLOOKUP(B76, County!$A$2:$B$131, 2, FALSE)</f>
        <v>Oakland</v>
      </c>
      <c r="E76" s="34" t="str">
        <f>VLOOKUP($B76, 'Main Data'!$B$2:$Z$131, 4, FALSE)</f>
        <v>Private</v>
      </c>
      <c r="F76" s="34">
        <f>VLOOKUP(A76,'Google Ratings'!$A$2:$B$128, 2, FALSE)</f>
        <v>4.7</v>
      </c>
      <c r="G76" s="34">
        <f>VLOOKUP($A76, 'Slope Ratings'!$A$2:$D$150, 3, FALSE)</f>
        <v>131</v>
      </c>
      <c r="H76" s="33">
        <f>VLOOKUP($A76, 'course_coordinates (1)'!$A$2:$D$145, 4, FALSE)</f>
        <v>42.585863400000001</v>
      </c>
      <c r="I76" s="35">
        <f>VLOOKUP($A76, 'course_coordinates (1)'!$A$2:$G$145, 5, FALSE)</f>
        <v>-83.382677400000006</v>
      </c>
    </row>
    <row r="77" spans="1:9" x14ac:dyDescent="0.3">
      <c r="A77" s="33" t="s">
        <v>133</v>
      </c>
      <c r="B77" s="36" t="s">
        <v>650</v>
      </c>
      <c r="C77" s="36" t="str">
        <f>VLOOKUP($B77, 'Main Data'!$B$2:$Z$131, 2, FALSE)</f>
        <v>Oxford</v>
      </c>
      <c r="D77" t="str">
        <f>VLOOKUP(B77, County!$A$2:$B$131, 2, FALSE)</f>
        <v>Oakland</v>
      </c>
      <c r="E77" s="34" t="str">
        <f>VLOOKUP($B77, 'Main Data'!$B$2:$Z$131, 4, FALSE)</f>
        <v>Public</v>
      </c>
      <c r="F77" s="34">
        <f>VLOOKUP(A77,'Google Ratings'!$A$2:$B$128, 2, FALSE)</f>
        <v>4</v>
      </c>
      <c r="G77" s="34">
        <f>VLOOKUP($A77, 'Slope Ratings'!$A$2:$D$150, 3, FALSE)</f>
        <v>118</v>
      </c>
      <c r="H77" s="33">
        <f>VLOOKUP($A77, 'course_coordinates (1)'!$A$2:$D$145, 4, FALSE)</f>
        <v>42.806509400000003</v>
      </c>
      <c r="I77" s="35">
        <f>VLOOKUP($A77, 'course_coordinates (1)'!$A$2:$G$145, 5, FALSE)</f>
        <v>-83.244294400000001</v>
      </c>
    </row>
    <row r="78" spans="1:9" x14ac:dyDescent="0.3">
      <c r="A78" s="33" t="s">
        <v>179</v>
      </c>
      <c r="B78" s="36" t="s">
        <v>637</v>
      </c>
      <c r="C78" s="36" t="str">
        <f>VLOOKUP($B78, 'Main Data'!$B$2:$Z$131, 2, FALSE)</f>
        <v>Lake Orion</v>
      </c>
      <c r="D78" t="str">
        <f>VLOOKUP(B78, County!$A$2:$B$131, 2, FALSE)</f>
        <v>Oakland</v>
      </c>
      <c r="E78" s="34" t="str">
        <f>VLOOKUP($B78, 'Main Data'!$B$2:$Z$131, 4, FALSE)</f>
        <v>Private</v>
      </c>
      <c r="F78" s="34">
        <f>VLOOKUP(A78,'Google Ratings'!$A$2:$B$128, 2, FALSE)</f>
        <v>4.4000000000000004</v>
      </c>
      <c r="G78" s="34">
        <f>VLOOKUP($A78, 'Slope Ratings'!$A$2:$D$150, 3, FALSE)</f>
        <v>127</v>
      </c>
      <c r="H78" s="33">
        <f>VLOOKUP($A78, 'course_coordinates (1)'!$A$2:$D$145, 4, FALSE)</f>
        <v>42.794826999999998</v>
      </c>
      <c r="I78" s="35">
        <f>VLOOKUP($A78, 'course_coordinates (1)'!$A$2:$G$145, 5, FALSE)</f>
        <v>-83.294546800000006</v>
      </c>
    </row>
    <row r="79" spans="1:9" x14ac:dyDescent="0.3">
      <c r="A79" s="33" t="s">
        <v>232</v>
      </c>
      <c r="B79" s="36" t="s">
        <v>671</v>
      </c>
      <c r="C79" s="36" t="str">
        <f>VLOOKUP($B79, 'Main Data'!$B$2:$Z$131, 2, FALSE)</f>
        <v>Canton Township</v>
      </c>
      <c r="D79" t="str">
        <f>VLOOKUP(B79, County!$A$2:$B$131, 2, FALSE)</f>
        <v>Wayne</v>
      </c>
      <c r="E79" s="34" t="str">
        <f>VLOOKUP($B79, 'Main Data'!$B$2:$Z$131, 4, FALSE)</f>
        <v>Public</v>
      </c>
      <c r="F79" s="34">
        <f>VLOOKUP(A79,'Google Ratings'!$A$2:$B$128, 2, FALSE)</f>
        <v>4.3</v>
      </c>
      <c r="G79" s="34">
        <f>VLOOKUP($A79, 'Slope Ratings'!$A$2:$D$150, 3, FALSE)</f>
        <v>128</v>
      </c>
      <c r="H79" s="33">
        <f>VLOOKUP($A79, 'course_coordinates (1)'!$A$2:$D$145, 4, FALSE)</f>
        <v>42.295347</v>
      </c>
      <c r="I79" s="35">
        <f>VLOOKUP($A79, 'course_coordinates (1)'!$A$2:$G$145, 5, FALSE)</f>
        <v>-83.498548400000004</v>
      </c>
    </row>
    <row r="80" spans="1:9" x14ac:dyDescent="0.3">
      <c r="A80" s="33" t="s">
        <v>134</v>
      </c>
      <c r="B80" s="36" t="s">
        <v>651</v>
      </c>
      <c r="C80" s="36" t="str">
        <f>VLOOKUP($B80, 'Main Data'!$B$2:$Z$131, 2, FALSE)</f>
        <v>Village of Clarkston</v>
      </c>
      <c r="D80" t="str">
        <f>VLOOKUP(B80, County!$A$2:$B$131, 2, FALSE)</f>
        <v>Oakland</v>
      </c>
      <c r="E80" s="34" t="str">
        <f>VLOOKUP($B80, 'Main Data'!$B$2:$Z$131, 4, FALSE)</f>
        <v>Public</v>
      </c>
      <c r="F80" s="34">
        <f>VLOOKUP(A80,'Google Ratings'!$A$2:$B$128, 2, FALSE)</f>
        <v>4.4000000000000004</v>
      </c>
      <c r="G80" s="34">
        <f>VLOOKUP($A80, 'Slope Ratings'!$A$2:$D$150, 3, FALSE)</f>
        <v>127</v>
      </c>
      <c r="H80" s="33">
        <f>VLOOKUP($A80, 'course_coordinates (1)'!$A$2:$D$145, 4, FALSE)</f>
        <v>42.740671200000001</v>
      </c>
      <c r="I80" s="35">
        <f>VLOOKUP($A80, 'course_coordinates (1)'!$A$2:$G$145, 5, FALSE)</f>
        <v>-83.371979499999995</v>
      </c>
    </row>
    <row r="81" spans="1:9" x14ac:dyDescent="0.3">
      <c r="A81" s="33" t="s">
        <v>89</v>
      </c>
      <c r="B81" s="36" t="s">
        <v>631</v>
      </c>
      <c r="C81" s="36" t="str">
        <f>VLOOKUP($B81, 'Main Data'!$B$2:$Z$131, 2, FALSE)</f>
        <v>West Bloomfield Township</v>
      </c>
      <c r="D81" t="str">
        <f>VLOOKUP(B81, County!$A$2:$B$131, 2, FALSE)</f>
        <v>Oakland</v>
      </c>
      <c r="E81" s="34" t="str">
        <f>VLOOKUP($B81, 'Main Data'!$B$2:$Z$131, 4, FALSE)</f>
        <v>Private</v>
      </c>
      <c r="F81" s="34">
        <f>VLOOKUP(A81,'Google Ratings'!$A$2:$B$128, 2, FALSE)</f>
        <v>4.8</v>
      </c>
      <c r="G81" s="34">
        <f>VLOOKUP($A81, 'Slope Ratings'!$A$2:$D$150, 3, FALSE)</f>
        <v>130</v>
      </c>
      <c r="H81" s="33">
        <f>VLOOKUP($A81, 'course_coordinates (1)'!$A$2:$D$145, 4, FALSE)</f>
        <v>42.592991900000001</v>
      </c>
      <c r="I81" s="35">
        <f>VLOOKUP($A81, 'course_coordinates (1)'!$A$2:$G$145, 5, FALSE)</f>
        <v>-83.343317099999993</v>
      </c>
    </row>
    <row r="82" spans="1:9" x14ac:dyDescent="0.3">
      <c r="A82" s="33" t="s">
        <v>166</v>
      </c>
      <c r="B82" s="36" t="s">
        <v>662</v>
      </c>
      <c r="C82" s="36" t="str">
        <f>VLOOKUP($B82, 'Main Data'!$B$2:$Z$131, 2, FALSE)</f>
        <v>Rochester Hills</v>
      </c>
      <c r="D82" t="str">
        <f>VLOOKUP(B82, County!$A$2:$B$131, 2, FALSE)</f>
        <v>Oakland</v>
      </c>
      <c r="E82" s="34" t="str">
        <f>VLOOKUP($B82, 'Main Data'!$B$2:$Z$131, 4, FALSE)</f>
        <v>Public</v>
      </c>
      <c r="F82" s="34">
        <f>VLOOKUP(A82,'Google Ratings'!$A$2:$B$128, 2, FALSE)</f>
        <v>3.5</v>
      </c>
      <c r="G82" s="34">
        <f>VLOOKUP($A82, 'Slope Ratings'!$A$2:$D$150, 3, FALSE)</f>
        <v>129</v>
      </c>
      <c r="H82" s="33">
        <f>VLOOKUP($A82, 'course_coordinates (1)'!$A$2:$D$145, 4, FALSE)</f>
        <v>42.624231399999999</v>
      </c>
      <c r="I82" s="35">
        <f>VLOOKUP($A82, 'course_coordinates (1)'!$A$2:$G$145, 5, FALSE)</f>
        <v>-83.197305799999995</v>
      </c>
    </row>
    <row r="83" spans="1:9" x14ac:dyDescent="0.3">
      <c r="A83" s="33" t="s">
        <v>29</v>
      </c>
      <c r="B83" s="36" t="s">
        <v>614</v>
      </c>
      <c r="C83" s="36" t="str">
        <f>VLOOKUP($B83, 'Main Data'!$B$2:$Z$131, 2, FALSE)</f>
        <v>Ray</v>
      </c>
      <c r="D83" t="str">
        <f>VLOOKUP(B83, County!$A$2:$B$131, 2, FALSE)</f>
        <v>Macomb</v>
      </c>
      <c r="E83" s="34" t="str">
        <f>VLOOKUP($B83, 'Main Data'!$B$2:$Z$131, 4, FALSE)</f>
        <v>Public</v>
      </c>
      <c r="F83" s="34">
        <f>VLOOKUP(A83,'Google Ratings'!$A$2:$B$128, 2, FALSE)</f>
        <v>3.9</v>
      </c>
      <c r="G83" s="34">
        <f>VLOOKUP($A83, 'Slope Ratings'!$A$2:$D$150, 3, FALSE)</f>
        <v>121</v>
      </c>
      <c r="H83" s="33">
        <f>VLOOKUP($A83, 'course_coordinates (1)'!$A$2:$D$145, 4, FALSE)</f>
        <v>42.790962200000003</v>
      </c>
      <c r="I83" s="35">
        <f>VLOOKUP($A83, 'course_coordinates (1)'!$A$2:$G$145, 5, FALSE)</f>
        <v>-82.959464999999994</v>
      </c>
    </row>
    <row r="84" spans="1:9" x14ac:dyDescent="0.3">
      <c r="A84" s="33" t="s">
        <v>31</v>
      </c>
      <c r="B84" s="36" t="s">
        <v>615</v>
      </c>
      <c r="C84" s="36" t="str">
        <f>VLOOKUP($B84, 'Main Data'!$B$2:$Z$131, 2, FALSE)</f>
        <v>Sterling Heights</v>
      </c>
      <c r="D84" t="str">
        <f>VLOOKUP(B84, County!$A$2:$B$131, 2, FALSE)</f>
        <v>Macomb</v>
      </c>
      <c r="E84" s="34" t="str">
        <f>VLOOKUP($B84, 'Main Data'!$B$2:$Z$131, 4, FALSE)</f>
        <v>Public</v>
      </c>
      <c r="F84" s="34">
        <f>VLOOKUP(A84,'Google Ratings'!$A$2:$B$128, 2, FALSE)</f>
        <v>3.7</v>
      </c>
      <c r="G84" s="34">
        <f>VLOOKUP($A84, 'Slope Ratings'!$A$2:$D$150, 3, FALSE)</f>
        <v>117</v>
      </c>
      <c r="H84" s="33">
        <f>VLOOKUP($A84, 'course_coordinates (1)'!$A$2:$D$145, 4, FALSE)</f>
        <v>42.573853700000001</v>
      </c>
      <c r="I84" s="35">
        <f>VLOOKUP($A84, 'course_coordinates (1)'!$A$2:$G$145, 5, FALSE)</f>
        <v>-82.992733200000004</v>
      </c>
    </row>
    <row r="85" spans="1:9" x14ac:dyDescent="0.3">
      <c r="A85" s="33" t="s">
        <v>91</v>
      </c>
      <c r="B85" s="36" t="s">
        <v>632</v>
      </c>
      <c r="C85" s="36" t="str">
        <f>VLOOKUP($B85, 'Main Data'!$B$2:$Z$131, 2, FALSE)</f>
        <v>Southfield</v>
      </c>
      <c r="D85" t="str">
        <f>VLOOKUP(B85, County!$A$2:$B$131, 2, FALSE)</f>
        <v>Oakland</v>
      </c>
      <c r="E85" s="34" t="str">
        <f>VLOOKUP($B85, 'Main Data'!$B$2:$Z$131, 4, FALSE)</f>
        <v>Private</v>
      </c>
      <c r="F85" s="34">
        <f>VLOOKUP(A85,'Google Ratings'!$A$2:$B$128, 2, FALSE)</f>
        <v>4.5</v>
      </c>
      <c r="G85" s="34">
        <f>VLOOKUP($A85, 'Slope Ratings'!$A$2:$D$150, 3, FALSE)</f>
        <v>133</v>
      </c>
      <c r="H85" s="33">
        <f>VLOOKUP($A85, 'course_coordinates (1)'!$A$2:$D$145, 4, FALSE)</f>
        <v>42.451143500000001</v>
      </c>
      <c r="I85" s="35">
        <f>VLOOKUP($A85, 'course_coordinates (1)'!$A$2:$G$145, 5, FALSE)</f>
        <v>-83.262468299999995</v>
      </c>
    </row>
    <row r="86" spans="1:9" x14ac:dyDescent="0.3">
      <c r="A86" s="33" t="s">
        <v>135</v>
      </c>
      <c r="B86" s="36" t="s">
        <v>710</v>
      </c>
      <c r="C86" s="36" t="str">
        <f>VLOOKUP($B86, 'Main Data'!$B$2:$Z$131, 2, FALSE)</f>
        <v>Waterford Township</v>
      </c>
      <c r="D86" t="str">
        <f>VLOOKUP(B86, County!$A$2:$B$131, 2, FALSE)</f>
        <v>Oakland</v>
      </c>
      <c r="E86" s="34" t="str">
        <f>VLOOKUP($B86, 'Main Data'!$B$2:$Z$131, 4, FALSE)</f>
        <v>Public</v>
      </c>
      <c r="F86" s="34">
        <f>VLOOKUP(A86,'Google Ratings'!$A$2:$B$128, 2, FALSE)</f>
        <v>4.2</v>
      </c>
      <c r="G86" s="34">
        <f>VLOOKUP($A86, 'Slope Ratings'!$A$2:$D$150, 3, FALSE)</f>
        <v>115</v>
      </c>
      <c r="H86" s="33">
        <f>VLOOKUP($A86, 'course_coordinates (1)'!$A$2:$D$145, 4, FALSE)</f>
        <v>42.637783400000004</v>
      </c>
      <c r="I86" s="35">
        <f>VLOOKUP($A86, 'course_coordinates (1)'!$A$2:$G$145, 5, FALSE)</f>
        <v>-83.371831700000001</v>
      </c>
    </row>
    <row r="87" spans="1:9" x14ac:dyDescent="0.3">
      <c r="A87" s="33" t="s">
        <v>180</v>
      </c>
      <c r="B87" s="36" t="s">
        <v>638</v>
      </c>
      <c r="C87" s="36" t="str">
        <f>VLOOKUP($B87, 'Main Data'!$B$2:$Z$131, 2, FALSE)</f>
        <v>Highland</v>
      </c>
      <c r="D87" t="str">
        <f>VLOOKUP(B87, County!$A$2:$B$131, 2, FALSE)</f>
        <v>Oakland</v>
      </c>
      <c r="E87" s="34" t="str">
        <f>VLOOKUP($B87, 'Main Data'!$B$2:$Z$131, 4, FALSE)</f>
        <v>Private</v>
      </c>
      <c r="F87" s="34">
        <f>VLOOKUP(A87,'Google Ratings'!$A$2:$B$128, 2, FALSE)</f>
        <v>4.7</v>
      </c>
      <c r="G87" s="34">
        <f>VLOOKUP($A87, 'Slope Ratings'!$A$2:$D$150, 3, FALSE)</f>
        <v>131</v>
      </c>
      <c r="H87" s="33">
        <f>VLOOKUP($A87, 'course_coordinates (1)'!$A$2:$D$145, 4, FALSE)</f>
        <v>42.635489999999997</v>
      </c>
      <c r="I87" s="35">
        <f>VLOOKUP($A87, 'course_coordinates (1)'!$A$2:$G$145, 5, FALSE)</f>
        <v>-83.641190499999993</v>
      </c>
    </row>
    <row r="88" spans="1:9" x14ac:dyDescent="0.3">
      <c r="A88" s="33" t="s">
        <v>168</v>
      </c>
      <c r="B88" s="36" t="s">
        <v>703</v>
      </c>
      <c r="C88" s="36" t="str">
        <f>VLOOKUP($B88, 'Main Data'!$B$2:$Z$131, 2, FALSE)</f>
        <v>Huntington Woods</v>
      </c>
      <c r="D88" t="str">
        <f>VLOOKUP(B88, County!$A$2:$B$131, 2, FALSE)</f>
        <v>Oakland</v>
      </c>
      <c r="E88" s="34" t="str">
        <f>VLOOKUP($B88, 'Main Data'!$B$2:$Z$131, 4, FALSE)</f>
        <v>Public</v>
      </c>
      <c r="F88" s="34">
        <f>VLOOKUP(A88,'Google Ratings'!$A$2:$B$128, 2, FALSE)</f>
        <v>3.8</v>
      </c>
      <c r="G88" s="34">
        <f>VLOOKUP($A88, 'Slope Ratings'!$A$2:$D$150, 3, FALSE)</f>
        <v>115</v>
      </c>
      <c r="H88" s="33">
        <f>VLOOKUP($A88, 'course_coordinates (1)'!$A$2:$D$145, 4, FALSE)</f>
        <v>42.476184199999999</v>
      </c>
      <c r="I88" s="35">
        <f>VLOOKUP($A88, 'course_coordinates (1)'!$A$2:$G$145, 5, FALSE)</f>
        <v>-83.163585400000002</v>
      </c>
    </row>
    <row r="89" spans="1:9" x14ac:dyDescent="0.3">
      <c r="A89" s="33" t="s">
        <v>32</v>
      </c>
      <c r="B89" s="36" t="s">
        <v>594</v>
      </c>
      <c r="C89" s="36" t="str">
        <f>VLOOKUP($B89, 'Main Data'!$B$2:$Z$131, 2, FALSE)</f>
        <v>Sterling Heights</v>
      </c>
      <c r="D89" t="str">
        <f>VLOOKUP(B89, County!$A$2:$B$131, 2, FALSE)</f>
        <v>Macomb</v>
      </c>
      <c r="E89" s="34" t="str">
        <f>VLOOKUP($B89, 'Main Data'!$B$2:$Z$131, 4, FALSE)</f>
        <v>Public</v>
      </c>
      <c r="F89" s="34">
        <f>VLOOKUP(A89,'Google Ratings'!$A$2:$B$128, 2, FALSE)</f>
        <v>4</v>
      </c>
      <c r="G89" s="34">
        <v>116</v>
      </c>
      <c r="H89" s="33">
        <f>VLOOKUP($A89, 'course_coordinates (1)'!$A$2:$D$145, 4, FALSE)</f>
        <v>42.578480399999997</v>
      </c>
      <c r="I89" s="35">
        <f>VLOOKUP($A89, 'course_coordinates (1)'!$A$2:$G$145, 5, FALSE)</f>
        <v>-82.986638299999996</v>
      </c>
    </row>
    <row r="90" spans="1:9" x14ac:dyDescent="0.3">
      <c r="A90" s="33" t="s">
        <v>560</v>
      </c>
      <c r="B90" s="36" t="s">
        <v>665</v>
      </c>
      <c r="C90" s="36" t="str">
        <f>VLOOKUP($B90, 'Main Data'!$B$2:$Z$131, 2, FALSE)</f>
        <v>Madison Heights</v>
      </c>
      <c r="D90" t="str">
        <f>VLOOKUP(B90, County!$A$2:$B$131, 2, FALSE)</f>
        <v>Oakland</v>
      </c>
      <c r="E90" s="34" t="str">
        <f>VLOOKUP($B90, 'Main Data'!$B$2:$Z$131, 4, FALSE)</f>
        <v>Public</v>
      </c>
      <c r="F90" s="34">
        <f>VLOOKUP(A90,'Google Ratings'!$A$2:$B$128, 2, FALSE)</f>
        <v>4.3</v>
      </c>
      <c r="G90" s="34">
        <f>VLOOKUP($A90, 'Slope Ratings'!$A$2:$D$150, 3, FALSE)</f>
        <v>103</v>
      </c>
      <c r="H90" s="33">
        <f>VLOOKUP($A90, 'course_coordinates (1)'!$A$2:$D$145, 4, FALSE)</f>
        <v>42.509386599999999</v>
      </c>
      <c r="I90" s="35">
        <f>VLOOKUP($A90, 'course_coordinates (1)'!$A$2:$G$145, 5, FALSE)</f>
        <v>-83.105301600000004</v>
      </c>
    </row>
    <row r="91" spans="1:9" x14ac:dyDescent="0.3">
      <c r="A91" s="33" t="s">
        <v>94</v>
      </c>
      <c r="B91" s="36" t="s">
        <v>633</v>
      </c>
      <c r="C91" s="36" t="str">
        <f>VLOOKUP($B91, 'Main Data'!$B$2:$Z$131, 2, FALSE)</f>
        <v>Royal Oak</v>
      </c>
      <c r="D91" t="str">
        <f>VLOOKUP(B91, County!$A$2:$B$131, 2, FALSE)</f>
        <v>Oakland</v>
      </c>
      <c r="E91" s="34" t="str">
        <f>VLOOKUP($B91, 'Main Data'!$B$2:$Z$131, 4, FALSE)</f>
        <v>Private</v>
      </c>
      <c r="F91" s="34">
        <f>VLOOKUP(A91,'Google Ratings'!$A$2:$B$128, 2, FALSE)</f>
        <v>4.5999999999999996</v>
      </c>
      <c r="G91" s="34">
        <f>VLOOKUP($A91, 'Slope Ratings'!$A$2:$D$150, 3, FALSE)</f>
        <v>128</v>
      </c>
      <c r="H91" s="33">
        <f>VLOOKUP($A91, 'course_coordinates (1)'!$A$2:$D$145, 4, FALSE)</f>
        <v>42.506780300000003</v>
      </c>
      <c r="I91" s="35">
        <f>VLOOKUP($A91, 'course_coordinates (1)'!$A$2:$G$145, 5, FALSE)</f>
        <v>-83.142342900000003</v>
      </c>
    </row>
    <row r="92" spans="1:9" x14ac:dyDescent="0.3">
      <c r="A92" s="33" t="s">
        <v>233</v>
      </c>
      <c r="B92" s="36" t="s">
        <v>672</v>
      </c>
      <c r="C92" s="36" t="str">
        <f>VLOOKUP($B92, 'Main Data'!$B$2:$Z$131, 2, FALSE)</f>
        <v>Riverview</v>
      </c>
      <c r="D92" t="str">
        <f>VLOOKUP(B92, County!$A$2:$B$131, 2, FALSE)</f>
        <v>Wayne</v>
      </c>
      <c r="E92" s="34" t="str">
        <f>VLOOKUP($B92, 'Main Data'!$B$2:$Z$131, 4, FALSE)</f>
        <v>Public</v>
      </c>
      <c r="F92" s="34">
        <f>VLOOKUP(A92,'Google Ratings'!$A$2:$B$128, 2, FALSE)</f>
        <v>4</v>
      </c>
      <c r="G92" s="34">
        <f>VLOOKUP($A92, 'Slope Ratings'!$A$2:$D$150, 3, FALSE)</f>
        <v>118</v>
      </c>
      <c r="H92" s="33">
        <f>VLOOKUP($A92, 'course_coordinates (1)'!$A$2:$D$145, 4, FALSE)</f>
        <v>42.167703500000002</v>
      </c>
      <c r="I92" s="35">
        <f>VLOOKUP($A92, 'course_coordinates (1)'!$A$2:$G$145, 5, FALSE)</f>
        <v>-83.205145700000003</v>
      </c>
    </row>
    <row r="93" spans="1:9" x14ac:dyDescent="0.3">
      <c r="A93" s="33" t="s">
        <v>256</v>
      </c>
      <c r="B93" s="36" t="s">
        <v>678</v>
      </c>
      <c r="C93" s="36" t="str">
        <f>VLOOKUP($B93, 'Main Data'!$B$2:$Z$131, 2, FALSE)</f>
        <v>Detroit</v>
      </c>
      <c r="D93" t="str">
        <f>VLOOKUP(B93, County!$A$2:$B$131, 2, FALSE)</f>
        <v>Wayne</v>
      </c>
      <c r="E93" s="34" t="str">
        <f>VLOOKUP($B93, 'Main Data'!$B$2:$Z$131, 4, FALSE)</f>
        <v>Public</v>
      </c>
      <c r="F93" s="34">
        <f>VLOOKUP(A93,'Google Ratings'!$A$2:$B$128, 2, FALSE)</f>
        <v>4.2</v>
      </c>
      <c r="G93" s="34">
        <f>VLOOKUP($A93, 'Slope Ratings'!$A$2:$D$150, 3, FALSE)</f>
        <v>112</v>
      </c>
      <c r="H93" s="33">
        <f>VLOOKUP($A93, 'course_coordinates (1)'!$A$2:$D$145, 4, FALSE)</f>
        <v>42.373478300000002</v>
      </c>
      <c r="I93" s="35">
        <f>VLOOKUP($A93, 'course_coordinates (1)'!$A$2:$G$145, 5, FALSE)</f>
        <v>-83.247218599999997</v>
      </c>
    </row>
    <row r="94" spans="1:9" x14ac:dyDescent="0.3">
      <c r="A94" s="33" t="s">
        <v>146</v>
      </c>
      <c r="B94" s="36" t="s">
        <v>95</v>
      </c>
      <c r="C94" s="36" t="str">
        <f>VLOOKUP($B94, 'Main Data'!$B$2:$Z$131, 2, FALSE)</f>
        <v>Royal Oak</v>
      </c>
      <c r="D94" t="str">
        <f>VLOOKUP(B94, County!$A$2:$B$131, 2, FALSE)</f>
        <v>Oakland</v>
      </c>
      <c r="E94" s="34" t="str">
        <f>VLOOKUP($B94, 'Main Data'!$B$2:$Z$131, 4, FALSE)</f>
        <v>Public</v>
      </c>
      <c r="F94" s="34">
        <f>VLOOKUP(A94,'Google Ratings'!$A$2:$B$128, 2, FALSE)</f>
        <v>3.5</v>
      </c>
      <c r="G94" s="34">
        <f>VLOOKUP($A94, 'Slope Ratings'!$A$2:$D$150, 3, FALSE)</f>
        <v>110</v>
      </c>
      <c r="H94" s="33">
        <f>VLOOKUP($A94, 'course_coordinates (1)'!$A$2:$D$145, 4, FALSE)</f>
        <v>42.519021600000002</v>
      </c>
      <c r="I94" s="35">
        <f>VLOOKUP($A94, 'course_coordinates (1)'!$A$2:$G$145, 5, FALSE)</f>
        <v>-83.178530300000006</v>
      </c>
    </row>
    <row r="95" spans="1:9" x14ac:dyDescent="0.3">
      <c r="A95" s="33" t="s">
        <v>584</v>
      </c>
      <c r="B95" s="36" t="s">
        <v>685</v>
      </c>
      <c r="C95" s="36" t="str">
        <f>VLOOKUP($B95, 'Main Data'!$B$2:$Z$131, 2, FALSE)</f>
        <v>Northville</v>
      </c>
      <c r="D95" t="str">
        <f>VLOOKUP(B95, County!$A$2:$B$131, 2, FALSE)</f>
        <v>Wayne</v>
      </c>
      <c r="E95" s="34" t="str">
        <f>VLOOKUP($B95, 'Main Data'!$B$2:$Z$131, 4, FALSE)</f>
        <v>Public</v>
      </c>
      <c r="F95" s="34">
        <f>VLOOKUP(A95,'Google Ratings'!$A$2:$B$128, 2, FALSE)</f>
        <v>4.2</v>
      </c>
      <c r="G95" s="34">
        <f>VLOOKUP($A95, 'Slope Ratings'!$A$2:$D$150, 3, FALSE)</f>
        <v>124</v>
      </c>
      <c r="H95" s="33">
        <f>VLOOKUP($A95, 'course_coordinates (1)'!$A$2:$D$145, 4, FALSE)</f>
        <v>42.404839600000003</v>
      </c>
      <c r="I95" s="35">
        <f>VLOOKUP($A95, 'course_coordinates (1)'!$A$2:$G$145, 5, FALSE)</f>
        <v>-83.591614100000001</v>
      </c>
    </row>
    <row r="96" spans="1:9" x14ac:dyDescent="0.3">
      <c r="A96" s="33" t="s">
        <v>171</v>
      </c>
      <c r="B96" s="36" t="s">
        <v>663</v>
      </c>
      <c r="C96" s="36" t="str">
        <f>VLOOKUP($B96, 'Main Data'!$B$2:$Z$131, 2, FALSE)</f>
        <v>Troy</v>
      </c>
      <c r="D96" t="str">
        <f>VLOOKUP(B96, County!$A$2:$B$131, 2, FALSE)</f>
        <v>Oakland</v>
      </c>
      <c r="E96" s="34" t="str">
        <f>VLOOKUP($B96, 'Main Data'!$B$2:$Z$131, 4, FALSE)</f>
        <v>Public</v>
      </c>
      <c r="F96" s="34">
        <f>VLOOKUP(A96,'Google Ratings'!$A$2:$B$128, 2, FALSE)</f>
        <v>3.9</v>
      </c>
      <c r="G96" s="34">
        <f>VLOOKUP($A96, 'Slope Ratings'!$A$2:$D$150, 3, FALSE)</f>
        <v>123</v>
      </c>
      <c r="H96" s="33">
        <f>VLOOKUP($A96, 'course_coordinates (1)'!$A$2:$D$145, 4, FALSE)</f>
        <v>42.623658900000002</v>
      </c>
      <c r="I96" s="35">
        <f>VLOOKUP($A96, 'course_coordinates (1)'!$A$2:$G$145, 5, FALSE)</f>
        <v>-83.103786200000002</v>
      </c>
    </row>
    <row r="97" spans="1:9" x14ac:dyDescent="0.3">
      <c r="A97" s="33" t="s">
        <v>37</v>
      </c>
      <c r="B97" s="36" t="s">
        <v>600</v>
      </c>
      <c r="C97" s="36" t="str">
        <f>VLOOKUP($B97, 'Main Data'!$B$2:$Z$131, 2, FALSE)</f>
        <v>West Bloomfield Township</v>
      </c>
      <c r="D97" t="str">
        <f>VLOOKUP(B97, County!$A$2:$B$131, 2, FALSE)</f>
        <v>Oakland</v>
      </c>
      <c r="E97" s="34" t="str">
        <f>VLOOKUP($B97, 'Main Data'!$B$2:$Z$131, 4, FALSE)</f>
        <v>Private</v>
      </c>
      <c r="F97" s="34">
        <f>VLOOKUP(A97,'Google Ratings'!$A$2:$B$128, 2, FALSE)</f>
        <v>4.5</v>
      </c>
      <c r="G97" s="34">
        <f>VLOOKUP($A97, 'Slope Ratings'!$A$2:$D$150, 3, FALSE)</f>
        <v>122</v>
      </c>
      <c r="H97" s="33">
        <f>VLOOKUP($A97, 'course_coordinates (1)'!$A$2:$D$145, 4, FALSE)</f>
        <v>42.601828099999999</v>
      </c>
      <c r="I97" s="35">
        <f>VLOOKUP($A97, 'course_coordinates (1)'!$A$2:$G$145, 5, FALSE)</f>
        <v>-82.809727199999998</v>
      </c>
    </row>
    <row r="98" spans="1:9" x14ac:dyDescent="0.3">
      <c r="A98" s="33" t="s">
        <v>554</v>
      </c>
      <c r="B98" s="36" t="s">
        <v>652</v>
      </c>
      <c r="C98" s="36" t="str">
        <f>VLOOKUP($B98, 'Main Data'!$B$2:$Z$131, 2, FALSE)</f>
        <v>Village of Clarkston</v>
      </c>
      <c r="D98" t="str">
        <f>VLOOKUP(B98, County!$A$2:$B$131, 2, FALSE)</f>
        <v>Oakland</v>
      </c>
      <c r="E98" s="34" t="str">
        <f>VLOOKUP($B98, 'Main Data'!$B$2:$Z$131, 4, FALSE)</f>
        <v>Public</v>
      </c>
      <c r="F98" s="34">
        <f>VLOOKUP(A98,'Google Ratings'!$A$2:$B$128, 2, FALSE)</f>
        <v>4.4000000000000004</v>
      </c>
      <c r="G98" s="34">
        <f>VLOOKUP($A98, 'Slope Ratings'!$A$2:$D$150, 3, FALSE)</f>
        <v>131</v>
      </c>
      <c r="H98" s="33">
        <f>VLOOKUP($A98, 'course_coordinates (1)'!$A$2:$D$145, 4, FALSE)</f>
        <v>42.557174600000003</v>
      </c>
      <c r="I98" s="35">
        <f>VLOOKUP($A98, 'course_coordinates (1)'!$A$2:$G$145, 5, FALSE)</f>
        <v>-83.397872899999996</v>
      </c>
    </row>
    <row r="99" spans="1:9" x14ac:dyDescent="0.3">
      <c r="A99" s="33" t="s">
        <v>138</v>
      </c>
      <c r="B99" s="36" t="s">
        <v>653</v>
      </c>
      <c r="C99" s="36" t="str">
        <f>VLOOKUP($B99, 'Main Data'!$B$2:$Z$131, 2, FALSE)</f>
        <v>Waterford Township</v>
      </c>
      <c r="D99" t="str">
        <f>VLOOKUP(B99, County!$A$2:$B$131, 2, FALSE)</f>
        <v>Oakland</v>
      </c>
      <c r="E99" s="34" t="str">
        <f>VLOOKUP($B99, 'Main Data'!$B$2:$Z$131, 4, FALSE)</f>
        <v>Public</v>
      </c>
      <c r="F99" s="34">
        <f>VLOOKUP(A99,'Google Ratings'!$A$2:$B$128, 2, FALSE)</f>
        <v>4.3</v>
      </c>
      <c r="G99" s="34">
        <f>VLOOKUP($A99, 'Slope Ratings'!$A$2:$D$150, 3, FALSE)</f>
        <v>138</v>
      </c>
      <c r="H99" s="33">
        <f>VLOOKUP($A99, 'course_coordinates (1)'!$A$2:$D$145, 4, FALSE)</f>
        <v>42.7295534</v>
      </c>
      <c r="I99" s="35">
        <f>VLOOKUP($A99, 'course_coordinates (1)'!$A$2:$G$145, 5, FALSE)</f>
        <v>-83.464304999999996</v>
      </c>
    </row>
    <row r="100" spans="1:9" x14ac:dyDescent="0.3">
      <c r="A100" s="33" t="s">
        <v>139</v>
      </c>
      <c r="B100" s="36" t="s">
        <v>606</v>
      </c>
      <c r="C100" s="36" t="str">
        <f>VLOOKUP($B100, 'Main Data'!$B$2:$Z$131, 2, FALSE)</f>
        <v>Troy</v>
      </c>
      <c r="D100" t="str">
        <f>VLOOKUP(B100, County!$A$2:$B$131, 2, FALSE)</f>
        <v>Oakland</v>
      </c>
      <c r="E100" s="34" t="str">
        <f>VLOOKUP($B100, 'Main Data'!$B$2:$Z$131, 4, FALSE)</f>
        <v>Public</v>
      </c>
      <c r="F100" s="34">
        <f>VLOOKUP(A100,'Google Ratings'!$A$2:$B$128, 2, FALSE)</f>
        <v>3.9</v>
      </c>
      <c r="G100" s="34">
        <f>VLOOKUP($A100, 'Slope Ratings'!$A$2:$D$150, 3, FALSE)</f>
        <v>108</v>
      </c>
      <c r="H100" s="33">
        <f>VLOOKUP($A100, 'course_coordinates (1)'!$A$2:$D$145, 4, FALSE)</f>
        <v>42.682091</v>
      </c>
      <c r="I100" s="35">
        <f>VLOOKUP($A100, 'course_coordinates (1)'!$A$2:$G$145, 5, FALSE)</f>
        <v>-83.338667999999998</v>
      </c>
    </row>
    <row r="101" spans="1:9" x14ac:dyDescent="0.3">
      <c r="A101" s="33" t="s">
        <v>174</v>
      </c>
      <c r="B101" s="36" t="s">
        <v>607</v>
      </c>
      <c r="C101" s="36" t="str">
        <f>VLOOKUP($B101, 'Main Data'!$B$2:$Z$131, 2, FALSE)</f>
        <v>Southgate</v>
      </c>
      <c r="D101" t="str">
        <f>VLOOKUP(B101, County!$A$2:$B$131, 2, FALSE)</f>
        <v>Wayne</v>
      </c>
      <c r="E101" s="34" t="str">
        <f>VLOOKUP($B101, 'Main Data'!$B$2:$Z$131, 4, FALSE)</f>
        <v>Public</v>
      </c>
      <c r="F101" s="34">
        <f>VLOOKUP(A101,'Google Ratings'!$A$2:$B$128, 2, FALSE)</f>
        <v>3.6</v>
      </c>
      <c r="G101" s="34">
        <f>VLOOKUP($A101, 'Slope Ratings'!$A$2:$D$150, 3, FALSE)</f>
        <v>107</v>
      </c>
      <c r="H101" s="33">
        <f>VLOOKUP($A101, 'course_coordinates (1)'!$A$2:$D$145, 4, FALSE)</f>
        <v>42.558334299999999</v>
      </c>
      <c r="I101" s="35">
        <f>VLOOKUP($A101, 'course_coordinates (1)'!$A$2:$G$145, 5, FALSE)</f>
        <v>-83.180168100000003</v>
      </c>
    </row>
    <row r="102" spans="1:9" x14ac:dyDescent="0.3">
      <c r="A102" s="33" t="s">
        <v>147</v>
      </c>
      <c r="B102" s="36" t="s">
        <v>605</v>
      </c>
      <c r="C102" s="36" t="str">
        <f>VLOOKUP($B102, 'Main Data'!$B$2:$Z$131, 2, FALSE)</f>
        <v>Bloomfield Hills</v>
      </c>
      <c r="D102" t="str">
        <f>VLOOKUP(B102, County!$A$2:$B$131, 2, FALSE)</f>
        <v>Oakland</v>
      </c>
      <c r="E102" s="34" t="str">
        <f>VLOOKUP($B102, 'Main Data'!$B$2:$Z$131, 4, FALSE)</f>
        <v>Public</v>
      </c>
      <c r="F102" s="34">
        <f>VLOOKUP(A102,'Google Ratings'!$A$2:$B$128, 2, FALSE)</f>
        <v>4.5</v>
      </c>
      <c r="G102" s="34">
        <f>VLOOKUP($A102, 'Slope Ratings'!$A$2:$D$150, 3, FALSE)</f>
        <v>107</v>
      </c>
      <c r="H102" s="33">
        <f>VLOOKUP($A102, 'course_coordinates (1)'!$A$2:$D$145, 4, FALSE)</f>
        <v>42.565549900000001</v>
      </c>
      <c r="I102" s="35">
        <f>VLOOKUP($A102, 'course_coordinates (1)'!$A$2:$G$145, 5, FALSE)</f>
        <v>-83.215877599999999</v>
      </c>
    </row>
    <row r="103" spans="1:9" x14ac:dyDescent="0.3">
      <c r="A103" s="33" t="s">
        <v>140</v>
      </c>
      <c r="B103" s="36" t="s">
        <v>654</v>
      </c>
      <c r="C103" s="36" t="str">
        <f>VLOOKUP($B103, 'Main Data'!$B$2:$Z$131, 2, FALSE)</f>
        <v>Davisburg</v>
      </c>
      <c r="D103" t="str">
        <f>VLOOKUP(B103, County!$A$2:$B$131, 2, FALSE)</f>
        <v>Oakland</v>
      </c>
      <c r="E103" s="34" t="str">
        <f>VLOOKUP($B103, 'Main Data'!$B$2:$Z$131, 4, FALSE)</f>
        <v>Public</v>
      </c>
      <c r="F103" s="34">
        <f>VLOOKUP(A103,'Google Ratings'!$A$2:$B$128, 2, FALSE)</f>
        <v>4.3</v>
      </c>
      <c r="G103" s="34">
        <f>VLOOKUP($A103, 'Slope Ratings'!$A$2:$D$150, 3, FALSE)</f>
        <v>117</v>
      </c>
      <c r="H103" s="33">
        <f>VLOOKUP($A103, 'course_coordinates (1)'!$A$2:$D$145, 4, FALSE)</f>
        <v>42.7458934</v>
      </c>
      <c r="I103" s="35">
        <f>VLOOKUP($A103, 'course_coordinates (1)'!$A$2:$G$145, 5, FALSE)</f>
        <v>-83.530673500000006</v>
      </c>
    </row>
    <row r="104" spans="1:9" x14ac:dyDescent="0.3">
      <c r="A104" s="33" t="s">
        <v>33</v>
      </c>
      <c r="B104" s="36" t="s">
        <v>616</v>
      </c>
      <c r="C104" s="36" t="str">
        <f>VLOOKUP($B104, 'Main Data'!$B$2:$Z$131, 2, FALSE)</f>
        <v>Shelby Township</v>
      </c>
      <c r="D104" t="str">
        <f>VLOOKUP(B104, County!$A$2:$B$131, 2, FALSE)</f>
        <v>Macomb</v>
      </c>
      <c r="E104" s="34" t="str">
        <f>VLOOKUP($B104, 'Main Data'!$B$2:$Z$131, 4, FALSE)</f>
        <v>Public</v>
      </c>
      <c r="F104" s="34">
        <f>VLOOKUP(A104,'Google Ratings'!$A$2:$B$128, 2, FALSE)</f>
        <v>3.8</v>
      </c>
      <c r="G104" s="34">
        <f>VLOOKUP($A104, 'Slope Ratings'!$A$2:$D$150, 3, FALSE)</f>
        <v>126</v>
      </c>
      <c r="H104" s="33">
        <f>VLOOKUP($A104, 'course_coordinates (1)'!$A$2:$D$145, 4, FALSE)</f>
        <v>42.717413899999997</v>
      </c>
      <c r="I104" s="35">
        <f>VLOOKUP($A104, 'course_coordinates (1)'!$A$2:$G$145, 5, FALSE)</f>
        <v>-83.108169599999997</v>
      </c>
    </row>
    <row r="105" spans="1:9" x14ac:dyDescent="0.3">
      <c r="A105" s="33" t="s">
        <v>97</v>
      </c>
      <c r="B105" s="36" t="s">
        <v>634</v>
      </c>
      <c r="C105" s="36" t="str">
        <f>VLOOKUP($B105, 'Main Data'!$B$2:$Z$131, 2, FALSE)</f>
        <v>Bloomfield Hills</v>
      </c>
      <c r="D105" t="str">
        <f>VLOOKUP(B105, County!$A$2:$B$131, 2, FALSE)</f>
        <v>Oakland</v>
      </c>
      <c r="E105" s="34" t="str">
        <f>VLOOKUP($B105, 'Main Data'!$B$2:$Z$131, 4, FALSE)</f>
        <v>Private</v>
      </c>
      <c r="F105" s="34">
        <f>VLOOKUP(A105,'Google Ratings'!$A$2:$B$128, 2, FALSE)</f>
        <v>4.8</v>
      </c>
      <c r="G105" s="34">
        <f>VLOOKUP($A105, 'Slope Ratings'!$A$2:$D$150, 3, FALSE)</f>
        <v>115</v>
      </c>
      <c r="H105" s="33">
        <f>VLOOKUP($A105, 'course_coordinates (1)'!$A$2:$D$145, 4, FALSE)</f>
        <v>42.589330799999999</v>
      </c>
      <c r="I105" s="35">
        <f>VLOOKUP($A105, 'course_coordinates (1)'!$A$2:$G$145, 5, FALSE)</f>
        <v>-83.240407099999999</v>
      </c>
    </row>
    <row r="106" spans="1:9" x14ac:dyDescent="0.3">
      <c r="A106" s="33" t="s">
        <v>57</v>
      </c>
      <c r="B106" s="36" t="s">
        <v>623</v>
      </c>
      <c r="C106" s="36" t="str">
        <f>VLOOKUP($B106, 'Main Data'!$B$2:$Z$131, 2, FALSE)</f>
        <v>Macomb</v>
      </c>
      <c r="D106" t="str">
        <f>VLOOKUP(B106, County!$A$2:$B$131, 2, FALSE)</f>
        <v>Macomb</v>
      </c>
      <c r="E106" s="34" t="str">
        <f>VLOOKUP($B106, 'Main Data'!$B$2:$Z$131, 4, FALSE)</f>
        <v>Public</v>
      </c>
      <c r="F106" s="34">
        <f>VLOOKUP(A106,'Google Ratings'!$A$2:$B$128, 2, FALSE)</f>
        <v>3.9</v>
      </c>
      <c r="G106" s="34">
        <f>VLOOKUP($A106, 'Slope Ratings'!$A$2:$D$150, 3, FALSE)</f>
        <v>118</v>
      </c>
      <c r="H106" s="33">
        <f>VLOOKUP($A106, 'course_coordinates (1)'!$A$2:$D$145, 4, FALSE)</f>
        <v>42.656244999999998</v>
      </c>
      <c r="I106" s="35">
        <f>VLOOKUP($A106, 'course_coordinates (1)'!$A$2:$G$145, 5, FALSE)</f>
        <v>-82.878148999999993</v>
      </c>
    </row>
    <row r="107" spans="1:9" x14ac:dyDescent="0.3">
      <c r="A107" s="33" t="s">
        <v>176</v>
      </c>
      <c r="B107" s="36" t="s">
        <v>664</v>
      </c>
      <c r="C107" s="36" t="str">
        <f>VLOOKUP($B107, 'Main Data'!$B$2:$Z$131, 2, FALSE)</f>
        <v>Troy</v>
      </c>
      <c r="D107" t="str">
        <f>VLOOKUP(B107, County!$A$2:$B$131, 2, FALSE)</f>
        <v>Oakland</v>
      </c>
      <c r="E107" s="34" t="str">
        <f>VLOOKUP($B107, 'Main Data'!$B$2:$Z$131, 4, FALSE)</f>
        <v>Public</v>
      </c>
      <c r="F107" s="34">
        <f>VLOOKUP(A107,'Google Ratings'!$A$2:$B$128, 2, FALSE)</f>
        <v>4.2</v>
      </c>
      <c r="G107" s="34">
        <f>VLOOKUP($A107, 'Slope Ratings'!$A$2:$D$150, 3, FALSE)</f>
        <v>114</v>
      </c>
      <c r="H107" s="33">
        <f>VLOOKUP($A107, 'course_coordinates (1)'!$A$2:$D$145, 4, FALSE)</f>
        <v>42.602679000000002</v>
      </c>
      <c r="I107" s="35">
        <f>VLOOKUP($A107, 'course_coordinates (1)'!$A$2:$G$145, 5, FALSE)</f>
        <v>-83.130157999999994</v>
      </c>
    </row>
    <row r="108" spans="1:9" x14ac:dyDescent="0.3">
      <c r="A108" s="33" t="s">
        <v>580</v>
      </c>
      <c r="B108" s="36" t="s">
        <v>639</v>
      </c>
      <c r="C108" s="36" t="str">
        <f>VLOOKUP($B108, 'Main Data'!$B$2:$Z$131, 2, FALSE)</f>
        <v>West Bloomfield Township</v>
      </c>
      <c r="D108" t="str">
        <f>VLOOKUP(B108, County!$A$2:$B$131, 2, FALSE)</f>
        <v>Oakland</v>
      </c>
      <c r="E108" s="34" t="str">
        <f>VLOOKUP($B108, 'Main Data'!$B$2:$Z$131, 4, FALSE)</f>
        <v>Private</v>
      </c>
      <c r="F108" s="34">
        <f>VLOOKUP(A108,'Google Ratings'!$A$2:$B$128, 2, FALSE)</f>
        <v>4.9000000000000004</v>
      </c>
      <c r="G108" s="34">
        <f>VLOOKUP($A108, 'Slope Ratings'!$A$2:$D$150, 3, FALSE)</f>
        <v>130</v>
      </c>
      <c r="H108" s="33">
        <f>VLOOKUP($A108, 'course_coordinates (1)'!$A$2:$D$145, 4, FALSE)</f>
        <v>42.564381099999999</v>
      </c>
      <c r="I108" s="35">
        <f>VLOOKUP($A108, 'course_coordinates (1)'!$A$2:$G$145, 5, FALSE)</f>
        <v>-83.354633399999997</v>
      </c>
    </row>
    <row r="109" spans="1:9" x14ac:dyDescent="0.3">
      <c r="A109" s="33" t="s">
        <v>590</v>
      </c>
      <c r="B109" s="36" t="s">
        <v>708</v>
      </c>
      <c r="C109" s="36" t="str">
        <f>VLOOKUP($B109, 'Main Data'!$B$2:$Z$131, 2, FALSE)</f>
        <v>South Lyon</v>
      </c>
      <c r="D109" t="str">
        <f>VLOOKUP(B109, County!$A$2:$B$131, 2, FALSE)</f>
        <v>Oakland</v>
      </c>
      <c r="E109" s="34" t="str">
        <f>VLOOKUP($B109, 'Main Data'!$B$2:$Z$131, 4, FALSE)</f>
        <v>Public</v>
      </c>
      <c r="F109" s="34">
        <f>VLOOKUP(A109,'Google Ratings'!$A$2:$B$128, 2, FALSE)</f>
        <v>4.4000000000000004</v>
      </c>
      <c r="G109" s="34">
        <f>VLOOKUP($A109, 'Slope Ratings'!$A$2:$D$150, 3, FALSE)</f>
        <v>126</v>
      </c>
      <c r="H109" s="33">
        <f>VLOOKUP($A109, 'course_coordinates (1)'!$A$2:$D$145, 4, FALSE)</f>
        <v>42.4550792</v>
      </c>
      <c r="I109" s="35">
        <f>VLOOKUP($A109, 'course_coordinates (1)'!$A$2:$G$145, 5, FALSE)</f>
        <v>-83.578207500000005</v>
      </c>
    </row>
    <row r="110" spans="1:9" x14ac:dyDescent="0.3">
      <c r="A110" s="33" t="s">
        <v>586</v>
      </c>
      <c r="B110" s="36" t="s">
        <v>683</v>
      </c>
      <c r="C110" s="36" t="str">
        <f>VLOOKUP($B110, 'Main Data'!$B$2:$Z$131, 2, FALSE)</f>
        <v>Taylor</v>
      </c>
      <c r="D110" t="str">
        <f>VLOOKUP(B110, County!$A$2:$B$131, 2, FALSE)</f>
        <v>Wayne</v>
      </c>
      <c r="E110" s="34" t="str">
        <f>VLOOKUP($B110, 'Main Data'!$B$2:$Z$131, 4, FALSE)</f>
        <v>Public</v>
      </c>
      <c r="F110" s="34">
        <f>VLOOKUP(A110,'Google Ratings'!$A$2:$B$128, 2, FALSE)</f>
        <v>4.3</v>
      </c>
      <c r="G110" s="34">
        <f>VLOOKUP($A110, 'Slope Ratings'!$A$2:$D$150, 3, FALSE)</f>
        <v>124</v>
      </c>
      <c r="H110" s="33">
        <f>VLOOKUP($A110, 'course_coordinates (1)'!$A$2:$D$145, 4, FALSE)</f>
        <v>42.256616899999997</v>
      </c>
      <c r="I110" s="35">
        <f>VLOOKUP($A110, 'course_coordinates (1)'!$A$2:$G$145, 5, FALSE)</f>
        <v>-83.283656399999998</v>
      </c>
    </row>
    <row r="111" spans="1:9" x14ac:dyDescent="0.3">
      <c r="A111" s="33" t="s">
        <v>544</v>
      </c>
      <c r="B111" s="36" t="s">
        <v>544</v>
      </c>
      <c r="C111" s="36" t="str">
        <f>VLOOKUP($B111, 'Main Data'!$B$2:$Z$131, 2, FALSE)</f>
        <v>Plymouth Township</v>
      </c>
      <c r="D111" t="str">
        <f>VLOOKUP(B111, County!$A$2:$B$131, 2, FALSE)</f>
        <v>Wayne</v>
      </c>
      <c r="E111" s="34" t="str">
        <f>VLOOKUP($B111, 'Main Data'!$B$2:$Z$131, 4, FALSE)</f>
        <v>Public</v>
      </c>
      <c r="F111" s="34">
        <f>VLOOKUP(A111,'Google Ratings'!$A$2:$B$128, 2, FALSE)</f>
        <v>4.2</v>
      </c>
      <c r="G111" s="34">
        <f>VLOOKUP($A111, 'Slope Ratings'!$A$2:$D$150, 3, FALSE)</f>
        <v>137</v>
      </c>
      <c r="H111" s="33">
        <f>VLOOKUP($A111, 'course_coordinates (1)'!$A$2:$D$145, 4, FALSE)</f>
        <v>42.3935362</v>
      </c>
      <c r="I111" s="35">
        <f>VLOOKUP($A111, 'course_coordinates (1)'!$A$2:$G$145, 5, FALSE)</f>
        <v>-83.478617400000005</v>
      </c>
    </row>
    <row r="112" spans="1:9" x14ac:dyDescent="0.3">
      <c r="A112" s="33" t="s">
        <v>142</v>
      </c>
      <c r="B112" s="36" t="s">
        <v>655</v>
      </c>
      <c r="C112" s="36" t="str">
        <f>VLOOKUP($B112, 'Main Data'!$B$2:$Z$131, 2, FALSE)</f>
        <v>Pontiac</v>
      </c>
      <c r="D112" t="str">
        <f>VLOOKUP(B112, County!$A$2:$B$131, 2, FALSE)</f>
        <v>Oakland</v>
      </c>
      <c r="E112" s="34" t="str">
        <f>VLOOKUP($B112, 'Main Data'!$B$2:$Z$131, 4, FALSE)</f>
        <v>Public</v>
      </c>
      <c r="F112" s="34">
        <f>VLOOKUP(A112,'Google Ratings'!$A$2:$B$128, 2, FALSE)</f>
        <v>4.2</v>
      </c>
      <c r="G112" s="34">
        <f>VLOOKUP($A112, 'Slope Ratings'!$A$2:$D$150, 3, FALSE)</f>
        <v>112</v>
      </c>
      <c r="H112" s="33">
        <f>VLOOKUP($A112, 'course_coordinates (1)'!$A$2:$D$145, 4, FALSE)</f>
        <v>42.618541399999998</v>
      </c>
      <c r="I112" s="35">
        <f>VLOOKUP($A112, 'course_coordinates (1)'!$A$2:$G$145, 5, FALSE)</f>
        <v>-83.302098200000003</v>
      </c>
    </row>
    <row r="113" spans="1:9" x14ac:dyDescent="0.3">
      <c r="A113" s="33" t="s">
        <v>59</v>
      </c>
      <c r="B113" s="36" t="s">
        <v>624</v>
      </c>
      <c r="C113" s="36" t="str">
        <f>VLOOKUP($B113, 'Main Data'!$B$2:$Z$131, 2, FALSE)</f>
        <v>Washington</v>
      </c>
      <c r="D113" t="str">
        <f>VLOOKUP(B113, County!$A$2:$B$131, 2, FALSE)</f>
        <v>Macomb</v>
      </c>
      <c r="E113" s="34" t="str">
        <f>VLOOKUP($B113, 'Main Data'!$B$2:$Z$131, 4, FALSE)</f>
        <v>Public</v>
      </c>
      <c r="F113" s="34">
        <f>VLOOKUP(A113,'Google Ratings'!$A$2:$B$128, 2, FALSE)</f>
        <v>4.3</v>
      </c>
      <c r="G113" s="34">
        <f>VLOOKUP($A113, 'Slope Ratings'!$A$2:$D$150, 3, FALSE)</f>
        <v>128</v>
      </c>
      <c r="H113" s="33">
        <f>VLOOKUP($A113, 'course_coordinates (1)'!$A$2:$D$145, 4, FALSE)</f>
        <v>42.755653299999999</v>
      </c>
      <c r="I113" s="35">
        <f>VLOOKUP($A113, 'course_coordinates (1)'!$A$2:$G$145, 5, FALSE)</f>
        <v>-83.036557200000004</v>
      </c>
    </row>
    <row r="114" spans="1:9" x14ac:dyDescent="0.3">
      <c r="A114" s="33" t="s">
        <v>98</v>
      </c>
      <c r="B114" s="36" t="s">
        <v>635</v>
      </c>
      <c r="C114" s="36" t="str">
        <f>VLOOKUP($B114, 'Main Data'!$B$2:$Z$131, 2, FALSE)</f>
        <v>Rochester Hills</v>
      </c>
      <c r="D114" t="str">
        <f>VLOOKUP(B114, County!$A$2:$B$131, 2, FALSE)</f>
        <v>Oakland</v>
      </c>
      <c r="E114" s="34" t="str">
        <f>VLOOKUP($B114, 'Main Data'!$B$2:$Z$131, 4, FALSE)</f>
        <v>Private</v>
      </c>
      <c r="F114" s="34">
        <f>VLOOKUP(A114,'Google Ratings'!$A$2:$B$128, 2, FALSE)</f>
        <v>4.5999999999999996</v>
      </c>
      <c r="G114" s="34">
        <f>VLOOKUP($A114, 'Slope Ratings'!$A$2:$D$150, 3, FALSE)</f>
        <v>132</v>
      </c>
      <c r="H114" s="33">
        <f>VLOOKUP($A114, 'course_coordinates (1)'!$A$2:$D$145, 4, FALSE)</f>
        <v>42.738699599999997</v>
      </c>
      <c r="I114" s="35">
        <f>VLOOKUP($A114, 'course_coordinates (1)'!$A$2:$G$145, 5, FALSE)</f>
        <v>-83.1820819</v>
      </c>
    </row>
    <row r="115" spans="1:9" x14ac:dyDescent="0.3">
      <c r="A115" s="33" t="s">
        <v>223</v>
      </c>
      <c r="B115" s="36" t="s">
        <v>223</v>
      </c>
      <c r="C115" s="36" t="str">
        <f>VLOOKUP($B115, 'Main Data'!$B$2:$Z$131, 2, FALSE)</f>
        <v>Dearborn</v>
      </c>
      <c r="D115" t="str">
        <f>VLOOKUP(B115, County!$A$2:$B$131, 2, FALSE)</f>
        <v>Wayne</v>
      </c>
      <c r="E115" s="34" t="str">
        <f>VLOOKUP($B115, 'Main Data'!$B$2:$Z$131, 4, FALSE)</f>
        <v>Private</v>
      </c>
      <c r="F115" s="34">
        <f>VLOOKUP(A115,'Google Ratings'!$A$2:$B$128, 2, FALSE)</f>
        <v>4.5999999999999996</v>
      </c>
      <c r="G115" s="34">
        <f>VLOOKUP($A115, 'Slope Ratings'!$A$2:$D$150, 3, FALSE)</f>
        <v>136</v>
      </c>
      <c r="H115" s="33">
        <f>VLOOKUP($A115, 'course_coordinates (1)'!$A$2:$D$145, 4, FALSE)</f>
        <v>42.306407900000004</v>
      </c>
      <c r="I115" s="35">
        <f>VLOOKUP($A115, 'course_coordinates (1)'!$A$2:$G$145, 5, FALSE)</f>
        <v>-83.200866399999995</v>
      </c>
    </row>
    <row r="116" spans="1:9" x14ac:dyDescent="0.3">
      <c r="A116" s="33" t="s">
        <v>182</v>
      </c>
      <c r="B116" s="36" t="s">
        <v>666</v>
      </c>
      <c r="C116" s="36" t="str">
        <f>VLOOKUP($B116, 'Main Data'!$B$2:$Z$131, 2, FALSE)</f>
        <v>Oakland Township</v>
      </c>
      <c r="D116" t="str">
        <f>VLOOKUP(B116, County!$A$2:$B$131, 2, FALSE)</f>
        <v>Oakland</v>
      </c>
      <c r="E116" s="34" t="str">
        <f>VLOOKUP($B116, 'Main Data'!$B$2:$Z$131, 4, FALSE)</f>
        <v>Public</v>
      </c>
      <c r="F116" s="34">
        <f>VLOOKUP(A116,'Google Ratings'!$A$2:$B$128, 2, FALSE)</f>
        <v>4.3</v>
      </c>
      <c r="G116" s="34">
        <f>VLOOKUP($A116, 'Slope Ratings'!$A$2:$D$150, 3, FALSE)</f>
        <v>125</v>
      </c>
      <c r="H116" s="33">
        <f>VLOOKUP($A116, 'course_coordinates (1)'!$A$2:$D$145, 4, FALSE)</f>
        <v>42.767689900000001</v>
      </c>
      <c r="I116" s="35">
        <f>VLOOKUP($A116, 'course_coordinates (1)'!$A$2:$G$145, 5, FALSE)</f>
        <v>-83.129025400000003</v>
      </c>
    </row>
    <row r="117" spans="1:9" x14ac:dyDescent="0.3">
      <c r="A117" s="33" t="s">
        <v>100</v>
      </c>
      <c r="B117" s="36" t="s">
        <v>100</v>
      </c>
      <c r="C117" s="36" t="str">
        <f>VLOOKUP($B117, 'Main Data'!$B$2:$Z$131, 2, FALSE)</f>
        <v>Bloomfield Township</v>
      </c>
      <c r="D117" t="str">
        <f>VLOOKUP(B117, County!$A$2:$B$131, 2, FALSE)</f>
        <v>Oakland</v>
      </c>
      <c r="E117" s="34" t="str">
        <f>VLOOKUP($B117, 'Main Data'!$B$2:$Z$131, 4, FALSE)</f>
        <v>Private</v>
      </c>
      <c r="F117" s="34">
        <f>VLOOKUP(A117,'Google Ratings'!$A$2:$B$128, 2, FALSE)</f>
        <v>4.5999999999999996</v>
      </c>
      <c r="G117" s="34">
        <f>VLOOKUP($A117, 'Slope Ratings'!$A$2:$D$150, 3, FALSE)</f>
        <v>131</v>
      </c>
      <c r="H117" s="33">
        <f>VLOOKUP($A117, 'course_coordinates (1)'!$A$2:$D$145, 4, FALSE)</f>
        <v>42.579820900000001</v>
      </c>
      <c r="I117" s="35">
        <f>VLOOKUP($A117, 'course_coordinates (1)'!$A$2:$G$145, 5, FALSE)</f>
        <v>-83.316154100000006</v>
      </c>
    </row>
    <row r="118" spans="1:9" x14ac:dyDescent="0.3">
      <c r="A118" s="33" t="s">
        <v>102</v>
      </c>
      <c r="B118" s="36" t="s">
        <v>636</v>
      </c>
      <c r="C118" s="36" t="str">
        <f>VLOOKUP($B118, 'Main Data'!$B$2:$Z$131, 2, FALSE)</f>
        <v>South Lyon</v>
      </c>
      <c r="D118" t="str">
        <f>VLOOKUP(B118, County!$A$2:$B$131, 2, FALSE)</f>
        <v>Oakland</v>
      </c>
      <c r="E118" s="34" t="str">
        <f>VLOOKUP($B118, 'Main Data'!$B$2:$Z$131, 4, FALSE)</f>
        <v>Private</v>
      </c>
      <c r="F118" s="34">
        <f>VLOOKUP(A118,'Google Ratings'!$A$2:$B$128, 2, FALSE)</f>
        <v>4.7</v>
      </c>
      <c r="G118" s="34">
        <f>VLOOKUP($A118, 'Slope Ratings'!$A$2:$D$150, 3, FALSE)</f>
        <v>132</v>
      </c>
      <c r="H118" s="33">
        <f>VLOOKUP($A118, 'course_coordinates (1)'!$A$2:$D$145, 4, FALSE)</f>
        <v>42.473851000000003</v>
      </c>
      <c r="I118" s="35">
        <f>VLOOKUP($A118, 'course_coordinates (1)'!$A$2:$G$145, 5, FALSE)</f>
        <v>-83.568365200000002</v>
      </c>
    </row>
    <row r="119" spans="1:9" x14ac:dyDescent="0.3">
      <c r="A119" s="33" t="s">
        <v>35</v>
      </c>
      <c r="B119" s="36" t="s">
        <v>617</v>
      </c>
      <c r="C119" s="36" t="str">
        <f>VLOOKUP($B119, 'Main Data'!$B$2:$Z$131, 2, FALSE)</f>
        <v>Fraser</v>
      </c>
      <c r="D119" t="str">
        <f>VLOOKUP(B119, County!$A$2:$B$131, 2, FALSE)</f>
        <v>Macomb</v>
      </c>
      <c r="E119" s="34" t="str">
        <f>VLOOKUP($B119, 'Main Data'!$B$2:$Z$131, 4, FALSE)</f>
        <v>Public</v>
      </c>
      <c r="F119" s="34">
        <f>VLOOKUP(A119,'Google Ratings'!$A$2:$B$128, 2, FALSE)</f>
        <v>3.9</v>
      </c>
      <c r="G119" s="34">
        <f>VLOOKUP($A119, 'Slope Ratings'!$A$2:$D$150, 3, FALSE)</f>
        <v>70</v>
      </c>
      <c r="H119" s="33">
        <f>VLOOKUP($A119, 'course_coordinates (1)'!$A$2:$D$145, 4, FALSE)</f>
        <v>42.548213500000003</v>
      </c>
      <c r="I119" s="35">
        <f>VLOOKUP($A119, 'course_coordinates (1)'!$A$2:$G$145, 5, FALSE)</f>
        <v>-82.958743299999995</v>
      </c>
    </row>
    <row r="120" spans="1:9" x14ac:dyDescent="0.3">
      <c r="A120" s="33" t="s">
        <v>258</v>
      </c>
      <c r="B120" s="36" t="s">
        <v>679</v>
      </c>
      <c r="C120" s="36" t="str">
        <f>VLOOKUP($B120, 'Main Data'!$B$2:$Z$131, 2, FALSE)</f>
        <v>Dearborn Heights</v>
      </c>
      <c r="D120" t="str">
        <f>VLOOKUP(B120, County!$A$2:$B$131, 2, FALSE)</f>
        <v>Wayne</v>
      </c>
      <c r="E120" s="34" t="str">
        <f>VLOOKUP($B120, 'Main Data'!$B$2:$Z$131, 4, FALSE)</f>
        <v>Public</v>
      </c>
      <c r="F120" s="34">
        <f>VLOOKUP(A120,'Google Ratings'!$A$2:$B$128, 2, FALSE)</f>
        <v>4</v>
      </c>
      <c r="G120" s="34">
        <f>VLOOKUP($A120, 'Slope Ratings'!$A$2:$D$150, 3, FALSE)</f>
        <v>117</v>
      </c>
      <c r="H120" s="33">
        <f>VLOOKUP($A120, 'course_coordinates (1)'!$A$2:$D$145, 4, FALSE)</f>
        <v>42.340946600000002</v>
      </c>
      <c r="I120" s="35">
        <f>VLOOKUP($A120, 'course_coordinates (1)'!$A$2:$G$145, 5, FALSE)</f>
        <v>-83.296723</v>
      </c>
    </row>
    <row r="121" spans="1:9" x14ac:dyDescent="0.3">
      <c r="A121" s="33" t="s">
        <v>582</v>
      </c>
      <c r="B121" s="36" t="s">
        <v>686</v>
      </c>
      <c r="C121" s="36" t="str">
        <f>VLOOKUP($B121, 'Main Data'!$B$2:$Z$131, 2, FALSE)</f>
        <v>Grosse Ile</v>
      </c>
      <c r="D121" t="str">
        <f>VLOOKUP(B121, County!$A$2:$B$131, 2, FALSE)</f>
        <v>Wayne</v>
      </c>
      <c r="E121" s="34" t="str">
        <f>VLOOKUP($B121, 'Main Data'!$B$2:$Z$131, 4, FALSE)</f>
        <v>Public</v>
      </c>
      <c r="F121" s="34">
        <f>VLOOKUP(A121,'Google Ratings'!$A$2:$B$128, 2, FALSE)</f>
        <v>4.2</v>
      </c>
      <c r="G121" s="34">
        <f>VLOOKUP($A121, 'Slope Ratings'!$A$2:$D$150, 3, FALSE)</f>
        <v>116</v>
      </c>
      <c r="H121" s="33">
        <f>VLOOKUP($A121, 'course_coordinates (1)'!$A$2:$D$145, 4, FALSE)</f>
        <v>42.125106799999998</v>
      </c>
      <c r="I121" s="35">
        <f>VLOOKUP($A121, 'course_coordinates (1)'!$A$2:$G$145, 5, FALSE)</f>
        <v>-83.172485300000005</v>
      </c>
    </row>
    <row r="122" spans="1:9" x14ac:dyDescent="0.3">
      <c r="A122" s="33" t="s">
        <v>226</v>
      </c>
      <c r="B122" s="36" t="s">
        <v>668</v>
      </c>
      <c r="C122" s="36" t="str">
        <f>VLOOKUP($B122, 'Main Data'!$B$2:$Z$131, 2, FALSE)</f>
        <v>Grosse Ile Township</v>
      </c>
      <c r="D122" t="str">
        <f>VLOOKUP(B122, County!$A$2:$B$131, 2, FALSE)</f>
        <v>Wayne</v>
      </c>
      <c r="E122" s="34" t="str">
        <f>VLOOKUP($B122, 'Main Data'!$B$2:$Z$131, 4, FALSE)</f>
        <v>Private</v>
      </c>
      <c r="F122" s="34">
        <f>VLOOKUP(A122,'Google Ratings'!$A$2:$B$128, 2, FALSE)</f>
        <v>4.5999999999999996</v>
      </c>
      <c r="G122" s="34">
        <f>VLOOKUP($A122, 'Slope Ratings'!$A$2:$D$150, 3, FALSE)</f>
        <v>121</v>
      </c>
      <c r="H122" s="33">
        <f>VLOOKUP($A122, 'course_coordinates (1)'!$A$2:$D$145, 4, FALSE)</f>
        <v>42.14011</v>
      </c>
      <c r="I122" s="35">
        <f>VLOOKUP($A122, 'course_coordinates (1)'!$A$2:$G$145, 5, FALSE)</f>
        <v>-83.168873000000005</v>
      </c>
    </row>
    <row r="123" spans="1:9" x14ac:dyDescent="0.3">
      <c r="A123" s="33" t="s">
        <v>235</v>
      </c>
      <c r="B123" s="36" t="s">
        <v>706</v>
      </c>
      <c r="C123" s="36" t="str">
        <f>VLOOKUP($B123, 'Main Data'!$B$2:$Z$131, 2, FALSE)</f>
        <v>Redford Township</v>
      </c>
      <c r="D123" t="str">
        <f>VLOOKUP(B123, County!$A$2:$B$131, 2, FALSE)</f>
        <v>Wayne</v>
      </c>
      <c r="E123" s="34" t="str">
        <f>VLOOKUP($B123, 'Main Data'!$B$2:$Z$131, 4, FALSE)</f>
        <v>Public</v>
      </c>
      <c r="F123" s="34">
        <f>VLOOKUP(A123,'Google Ratings'!$A$2:$B$128, 2, FALSE)</f>
        <v>4.5999999999999996</v>
      </c>
      <c r="G123" s="34">
        <f>VLOOKUP($A123, 'Slope Ratings'!$A$2:$D$150, 3, FALSE)</f>
        <v>126</v>
      </c>
      <c r="H123" s="33">
        <f>VLOOKUP($A123, 'course_coordinates (1)'!$A$2:$D$145, 4, FALSE)</f>
        <v>42.393538399999997</v>
      </c>
      <c r="I123" s="35">
        <f>VLOOKUP($A123, 'course_coordinates (1)'!$A$2:$G$145, 5, FALSE)</f>
        <v>-83.299947099999997</v>
      </c>
    </row>
    <row r="124" spans="1:9" x14ac:dyDescent="0.3">
      <c r="A124" s="33" t="s">
        <v>261</v>
      </c>
      <c r="B124" s="36" t="s">
        <v>680</v>
      </c>
      <c r="C124" s="36" t="str">
        <f>VLOOKUP($B124, 'Main Data'!$B$2:$Z$131, 2, FALSE)</f>
        <v>Livonia</v>
      </c>
      <c r="D124" t="str">
        <f>VLOOKUP(B124, County!$A$2:$B$131, 2, FALSE)</f>
        <v>Wayne</v>
      </c>
      <c r="E124" s="34" t="str">
        <f>VLOOKUP($B124, 'Main Data'!$B$2:$Z$131, 4, FALSE)</f>
        <v>Public</v>
      </c>
      <c r="F124" s="34">
        <f>VLOOKUP(A124,'Google Ratings'!$A$2:$B$128, 2, FALSE)</f>
        <v>4.0999999999999996</v>
      </c>
      <c r="G124" s="34">
        <f>VLOOKUP($A124, 'Slope Ratings'!$A$2:$D$150, 3, FALSE)</f>
        <v>114</v>
      </c>
      <c r="H124" s="33">
        <f>VLOOKUP($A124, 'course_coordinates (1)'!$A$2:$D$145, 4, FALSE)</f>
        <v>42.437730600000002</v>
      </c>
      <c r="I124" s="35">
        <f>VLOOKUP($A124, 'course_coordinates (1)'!$A$2:$G$145, 5, FALSE)</f>
        <v>-83.412829299999999</v>
      </c>
    </row>
    <row r="125" spans="1:9" x14ac:dyDescent="0.3">
      <c r="A125" s="33" t="s">
        <v>144</v>
      </c>
      <c r="B125" s="36" t="s">
        <v>691</v>
      </c>
      <c r="C125" s="36" t="str">
        <f>VLOOKUP($B125, 'Main Data'!$B$2:$Z$131, 2, FALSE)</f>
        <v>White Lake</v>
      </c>
      <c r="D125" t="str">
        <f>VLOOKUP(B125, County!$A$2:$B$131, 2, FALSE)</f>
        <v>Oakland</v>
      </c>
      <c r="E125" s="34" t="str">
        <f>VLOOKUP($B125, 'Main Data'!$B$2:$Z$131, 4, FALSE)</f>
        <v>Public</v>
      </c>
      <c r="F125" s="34">
        <f>VLOOKUP(A125,'Google Ratings'!$A$2:$B$128, 2, FALSE)</f>
        <v>4.0999999999999996</v>
      </c>
      <c r="G125" s="34">
        <f>VLOOKUP($A125, 'Slope Ratings'!$A$2:$D$150, 3, FALSE)</f>
        <v>118</v>
      </c>
      <c r="H125" s="33">
        <f>VLOOKUP($A125, 'course_coordinates (1)'!$A$2:$D$145, 4, FALSE)</f>
        <v>42.653722100000003</v>
      </c>
      <c r="I125" s="35">
        <f>VLOOKUP($A125, 'course_coordinates (1)'!$A$2:$G$145, 5, FALSE)</f>
        <v>-83.448766800000001</v>
      </c>
    </row>
    <row r="126" spans="1:9" x14ac:dyDescent="0.3">
      <c r="A126" s="33" t="s">
        <v>546</v>
      </c>
      <c r="B126" s="36" t="s">
        <v>681</v>
      </c>
      <c r="C126" s="36" t="str">
        <f>VLOOKUP($B126, 'Main Data'!$B$2:$Z$131, 2, FALSE)</f>
        <v>New Boston</v>
      </c>
      <c r="D126" t="str">
        <f>VLOOKUP(B126, County!$A$2:$B$131, 2, FALSE)</f>
        <v>Wayne</v>
      </c>
      <c r="E126" s="34" t="str">
        <f>VLOOKUP($B126, 'Main Data'!$B$2:$Z$131, 4, FALSE)</f>
        <v>Public</v>
      </c>
      <c r="F126" s="34">
        <f>VLOOKUP(A126,'Google Ratings'!$A$2:$B$128, 2, FALSE)</f>
        <v>4</v>
      </c>
      <c r="G126" s="34">
        <f>VLOOKUP($A126, 'Slope Ratings'!$A$2:$D$150, 3, FALSE)</f>
        <v>128</v>
      </c>
      <c r="H126" s="33">
        <f>VLOOKUP($A126, 'course_coordinates (1)'!$A$2:$D$145, 4, FALSE)</f>
        <v>42.1388137</v>
      </c>
      <c r="I126" s="35">
        <f>VLOOKUP($A126, 'course_coordinates (1)'!$A$2:$G$145, 5, FALSE)</f>
        <v>-83.365624100000005</v>
      </c>
    </row>
    <row r="127" spans="1:9" x14ac:dyDescent="0.3">
      <c r="A127" s="33" t="s">
        <v>552</v>
      </c>
      <c r="B127" s="36" t="s">
        <v>552</v>
      </c>
      <c r="C127" s="36" t="str">
        <f>VLOOKUP($B127, 'Main Data'!$B$2:$Z$131, 2, FALSE)</f>
        <v>Romulus</v>
      </c>
      <c r="D127" t="str">
        <f>VLOOKUP(B127, County!$A$2:$B$131, 2, FALSE)</f>
        <v>Wayne</v>
      </c>
      <c r="E127" s="34" t="str">
        <f>VLOOKUP($B127, 'Main Data'!$B$2:$Z$131, 4, FALSE)</f>
        <v>Public</v>
      </c>
      <c r="F127" s="34">
        <f>VLOOKUP(A127,'Google Ratings'!$A$2:$B$128, 2, FALSE)</f>
        <v>4.2</v>
      </c>
      <c r="G127" s="34">
        <f>VLOOKUP($A127, 'Slope Ratings'!$A$2:$D$150, 3, FALSE)</f>
        <v>120</v>
      </c>
      <c r="H127" s="33">
        <f>VLOOKUP($A127, 'course_coordinates (1)'!$A$2:$D$145, 4, FALSE)</f>
        <v>42.153228800000001</v>
      </c>
      <c r="I127" s="35">
        <f>VLOOKUP($A127, 'course_coordinates (1)'!$A$2:$G$145, 5, FALSE)</f>
        <v>-83.305986300000001</v>
      </c>
    </row>
    <row r="128" spans="1:9" x14ac:dyDescent="0.3">
      <c r="A128" s="33" t="s">
        <v>238</v>
      </c>
      <c r="B128" s="36" t="s">
        <v>673</v>
      </c>
      <c r="C128" s="36" t="str">
        <f>VLOOKUP($B128, 'Main Data'!$B$2:$Z$131, 2, FALSE)</f>
        <v>Wyandotte</v>
      </c>
      <c r="D128" t="str">
        <f>VLOOKUP(B128, County!$A$2:$B$131, 2, FALSE)</f>
        <v>Wayne</v>
      </c>
      <c r="E128" s="34" t="str">
        <f>VLOOKUP($B128, 'Main Data'!$B$2:$Z$131, 4, FALSE)</f>
        <v>Public</v>
      </c>
      <c r="F128" s="34">
        <f>VLOOKUP(A128,'Google Ratings'!$A$2:$B$128, 2, FALSE)</f>
        <v>4.4000000000000004</v>
      </c>
      <c r="G128" s="34">
        <f>VLOOKUP($A128, 'Slope Ratings'!$A$2:$D$150, 3, FALSE)</f>
        <v>108</v>
      </c>
      <c r="H128" s="33">
        <f>VLOOKUP($A128, 'course_coordinates (1)'!$A$2:$D$145, 4, FALSE)</f>
        <v>42.195953299999999</v>
      </c>
      <c r="I128" s="35">
        <f>VLOOKUP($A128, 'course_coordinates (1)'!$A$2:$G$145, 5, FALSE)</f>
        <v>-83.1515579</v>
      </c>
    </row>
    <row r="129" spans="9:9" x14ac:dyDescent="0.3">
      <c r="I129" s="35"/>
    </row>
  </sheetData>
  <autoFilter ref="A1:I128" xr:uid="{37C14C24-D400-4120-9208-C78F9935900F}"/>
  <sortState xmlns:xlrd2="http://schemas.microsoft.com/office/spreadsheetml/2017/richdata2" ref="A2:A128">
    <sortCondition ref="A1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"/>
  <sheetViews>
    <sheetView workbookViewId="0">
      <pane ySplit="1" topLeftCell="A108" activePane="bottomLeft" state="frozen"/>
      <selection pane="bottomLeft" activeCell="B1" sqref="B1:B131"/>
    </sheetView>
  </sheetViews>
  <sheetFormatPr defaultRowHeight="14.4" x14ac:dyDescent="0.3"/>
  <cols>
    <col min="1" max="1" width="5" style="19" customWidth="1"/>
    <col min="2" max="2" width="33.6640625" style="19" customWidth="1"/>
    <col min="3" max="3" width="24.33203125" style="19" bestFit="1" customWidth="1"/>
    <col min="4" max="4" width="12" style="19" customWidth="1"/>
    <col min="5" max="5" width="16.77734375" style="19" bestFit="1" customWidth="1"/>
    <col min="6" max="6" width="13" style="40" customWidth="1"/>
    <col min="7" max="7" width="13" style="23" customWidth="1"/>
    <col min="8" max="8" width="13" style="19" customWidth="1"/>
    <col min="9" max="11" width="13" style="23" customWidth="1"/>
    <col min="12" max="16384" width="8.88671875" style="19"/>
  </cols>
  <sheetData>
    <row r="1" spans="1:14" ht="28.8" x14ac:dyDescent="0.3">
      <c r="A1" s="17" t="s">
        <v>0</v>
      </c>
      <c r="B1" s="17" t="s">
        <v>692</v>
      </c>
      <c r="C1" s="17" t="s">
        <v>2</v>
      </c>
      <c r="D1" s="17" t="s">
        <v>3</v>
      </c>
      <c r="E1" s="17" t="s">
        <v>4</v>
      </c>
      <c r="F1" s="17" t="s">
        <v>6</v>
      </c>
      <c r="G1" s="18" t="s">
        <v>563</v>
      </c>
      <c r="H1" s="17" t="s">
        <v>7</v>
      </c>
      <c r="I1" s="25" t="s">
        <v>8</v>
      </c>
      <c r="J1" s="26" t="s">
        <v>279</v>
      </c>
      <c r="K1" s="26" t="s">
        <v>280</v>
      </c>
      <c r="L1" s="26" t="s">
        <v>279</v>
      </c>
      <c r="M1" s="26" t="s">
        <v>280</v>
      </c>
      <c r="N1" s="26" t="s">
        <v>690</v>
      </c>
    </row>
    <row r="2" spans="1:14" x14ac:dyDescent="0.3">
      <c r="A2" s="20">
        <v>23</v>
      </c>
      <c r="B2" s="20" t="s">
        <v>641</v>
      </c>
      <c r="C2" s="20" t="s">
        <v>82</v>
      </c>
      <c r="D2" s="20" t="s">
        <v>64</v>
      </c>
      <c r="E2" s="20" t="s">
        <v>15</v>
      </c>
      <c r="F2" s="38">
        <v>3.9</v>
      </c>
      <c r="G2" s="21" t="e">
        <f>VLOOKUP(B2, 'Slope Ratings'!$A$2:$C$147, 2, TRUE)</f>
        <v>#N/A</v>
      </c>
      <c r="H2" s="20">
        <v>211</v>
      </c>
      <c r="I2" s="30"/>
      <c r="J2" s="21">
        <v>42.436412799999999</v>
      </c>
      <c r="K2" s="19">
        <v>-82.894256499999997</v>
      </c>
      <c r="L2" s="21">
        <f>INDEX('course_coordinates (1)'!$D$2:$D$145,MATCH('Main Data'!N64,'course_coordinates (1)'!$A$2:$A$145,0))</f>
        <v>42.436412799999999</v>
      </c>
      <c r="M2" s="19">
        <f>INDEX('course_coordinates (1)'!$E$2:$E$145,MATCH('Main Data'!N64,'course_coordinates (1)'!$A$2:$A$145,0))</f>
        <v>-82.894256499999997</v>
      </c>
      <c r="N2" s="19" t="s">
        <v>108</v>
      </c>
    </row>
    <row r="3" spans="1:14" x14ac:dyDescent="0.3">
      <c r="A3" s="20">
        <v>24</v>
      </c>
      <c r="B3" s="20" t="s">
        <v>642</v>
      </c>
      <c r="C3" s="20" t="s">
        <v>71</v>
      </c>
      <c r="D3" s="20" t="s">
        <v>64</v>
      </c>
      <c r="E3" s="20" t="s">
        <v>15</v>
      </c>
      <c r="F3" s="38">
        <v>4.3</v>
      </c>
      <c r="G3" s="21" t="e">
        <f>VLOOKUP(B3, 'Slope Ratings'!$A$2:$C$147, 2, TRUE)</f>
        <v>#N/A</v>
      </c>
      <c r="H3" s="20">
        <v>283</v>
      </c>
      <c r="I3" s="21"/>
      <c r="J3" s="21">
        <v>42.5438957</v>
      </c>
      <c r="K3" s="19">
        <v>-83.277687</v>
      </c>
      <c r="L3" s="21">
        <f>INDEX('course_coordinates (1)'!$D$2:$D$145,MATCH('Main Data'!N75,'course_coordinates (1)'!$A$2:$A$145,0))</f>
        <v>42.5438957</v>
      </c>
      <c r="M3" s="19">
        <f>INDEX('course_coordinates (1)'!$E$2:$E$145,MATCH('Main Data'!N75,'course_coordinates (1)'!$A$2:$A$145,0))</f>
        <v>-83.277687</v>
      </c>
      <c r="N3" s="19" t="s">
        <v>109</v>
      </c>
    </row>
    <row r="4" spans="1:14" x14ac:dyDescent="0.3">
      <c r="A4" s="20">
        <v>82</v>
      </c>
      <c r="B4" s="20" t="s">
        <v>609</v>
      </c>
      <c r="C4" s="20" t="s">
        <v>19</v>
      </c>
      <c r="D4" s="20" t="s">
        <v>19</v>
      </c>
      <c r="E4" s="20" t="s">
        <v>15</v>
      </c>
      <c r="F4" s="38">
        <v>3.7</v>
      </c>
      <c r="G4" s="21" t="e">
        <f>VLOOKUP(B4, 'Slope Ratings'!$A$2:$C$147, 2, TRUE)</f>
        <v>#N/A</v>
      </c>
      <c r="H4" s="20">
        <v>231</v>
      </c>
      <c r="I4" s="21"/>
      <c r="J4" s="21">
        <v>42.589847800000001</v>
      </c>
      <c r="K4" s="19">
        <v>-83.450099300000005</v>
      </c>
      <c r="L4" s="21">
        <f>INDEX('course_coordinates (1)'!$D$2:$D$145,MATCH('Main Data'!N23,'course_coordinates (1)'!$A$2:$A$145,0))</f>
        <v>42.589847800000001</v>
      </c>
      <c r="M4" s="19">
        <f>INDEX('course_coordinates (1)'!$E$2:$E$145,MATCH('Main Data'!N23,'course_coordinates (1)'!$A$2:$A$145,0))</f>
        <v>-83.450099300000005</v>
      </c>
      <c r="N4" s="19" t="s">
        <v>40</v>
      </c>
    </row>
    <row r="5" spans="1:14" x14ac:dyDescent="0.3">
      <c r="A5" s="20">
        <v>25</v>
      </c>
      <c r="B5" s="20" t="s">
        <v>618</v>
      </c>
      <c r="C5" s="20" t="s">
        <v>19</v>
      </c>
      <c r="D5" s="20" t="s">
        <v>19</v>
      </c>
      <c r="E5" s="20" t="s">
        <v>15</v>
      </c>
      <c r="F5" s="38">
        <v>3.9</v>
      </c>
      <c r="G5" s="21" t="e">
        <f>VLOOKUP(B5, 'Slope Ratings'!$A$2:$C$147, 2, TRUE)</f>
        <v>#N/A</v>
      </c>
      <c r="H5" s="20">
        <v>401</v>
      </c>
      <c r="I5" s="21"/>
      <c r="J5" s="21">
        <v>42.596913999999998</v>
      </c>
      <c r="K5" s="19">
        <v>-83.297173999999998</v>
      </c>
      <c r="L5" s="21">
        <f>INDEX('course_coordinates (1)'!$D$2:$D$145,MATCH('Main Data'!N29,'course_coordinates (1)'!$A$2:$A$145,0))</f>
        <v>42.596913999999998</v>
      </c>
      <c r="M5" s="19">
        <f>INDEX('course_coordinates (1)'!$E$2:$E$145,MATCH('Main Data'!N29,'course_coordinates (1)'!$A$2:$A$145,0))</f>
        <v>-83.297173999999998</v>
      </c>
      <c r="N5" s="19" t="s">
        <v>110</v>
      </c>
    </row>
    <row r="6" spans="1:14" x14ac:dyDescent="0.3">
      <c r="A6" s="20">
        <v>122</v>
      </c>
      <c r="B6" s="20" t="s">
        <v>717</v>
      </c>
      <c r="C6" s="20" t="s">
        <v>63</v>
      </c>
      <c r="D6" s="20" t="s">
        <v>64</v>
      </c>
      <c r="E6" s="20" t="s">
        <v>65</v>
      </c>
      <c r="F6" s="38">
        <v>4.7</v>
      </c>
      <c r="G6" s="21">
        <f>VLOOKUP(B6, 'Slope Ratings'!$A$2:$C$147, 2, TRUE)</f>
        <v>121</v>
      </c>
      <c r="H6" s="20">
        <v>178</v>
      </c>
      <c r="I6" s="21"/>
      <c r="J6" s="21">
        <v>42.608392500000001</v>
      </c>
      <c r="K6" s="19">
        <v>-83.532567599999993</v>
      </c>
      <c r="L6" s="21">
        <f>INDEX('course_coordinates (1)'!$D$2:$D$145,MATCH('Main Data'!N3,'course_coordinates (1)'!$A$2:$A$145,0))</f>
        <v>42.608392500000001</v>
      </c>
      <c r="M6" s="19">
        <f>INDEX('course_coordinates (1)'!$E$2:$E$145,MATCH('Main Data'!N3,'course_coordinates (1)'!$A$2:$A$145,0))</f>
        <v>-83.532567599999993</v>
      </c>
      <c r="N6" s="19" t="s">
        <v>66</v>
      </c>
    </row>
    <row r="7" spans="1:14" x14ac:dyDescent="0.3">
      <c r="A7" s="20">
        <v>26</v>
      </c>
      <c r="B7" s="20" t="s">
        <v>602</v>
      </c>
      <c r="C7" s="20" t="s">
        <v>111</v>
      </c>
      <c r="D7" s="20" t="s">
        <v>64</v>
      </c>
      <c r="E7" s="20" t="s">
        <v>15</v>
      </c>
      <c r="F7" s="38">
        <v>3.7</v>
      </c>
      <c r="G7" s="21">
        <f>VLOOKUP(B7, 'Slope Ratings'!$A$2:$C$147, 2, TRUE)</f>
        <v>121</v>
      </c>
      <c r="H7" s="20">
        <v>377</v>
      </c>
      <c r="I7" s="21"/>
      <c r="J7" s="21">
        <v>42.295347</v>
      </c>
      <c r="K7" s="19">
        <v>-83.498548400000004</v>
      </c>
      <c r="L7" s="21">
        <f>INDEX('course_coordinates (1)'!$D$2:$D$145,MATCH('Main Data'!N79,'course_coordinates (1)'!$A$2:$A$145,0))</f>
        <v>42.295347</v>
      </c>
      <c r="M7" s="19">
        <f>INDEX('course_coordinates (1)'!$E$2:$E$145,MATCH('Main Data'!N79,'course_coordinates (1)'!$A$2:$A$145,0))</f>
        <v>-83.498548400000004</v>
      </c>
      <c r="N7" s="19" t="s">
        <v>112</v>
      </c>
    </row>
    <row r="8" spans="1:14" x14ac:dyDescent="0.3">
      <c r="A8" s="20">
        <v>74</v>
      </c>
      <c r="B8" s="20" t="s">
        <v>719</v>
      </c>
      <c r="C8" s="20" t="s">
        <v>67</v>
      </c>
      <c r="D8" s="20" t="s">
        <v>64</v>
      </c>
      <c r="E8" s="20" t="s">
        <v>65</v>
      </c>
      <c r="F8" s="38">
        <v>4.4000000000000004</v>
      </c>
      <c r="G8" s="21">
        <f>VLOOKUP(B8, 'Slope Ratings'!$A$2:$C$147, 2, TRUE)</f>
        <v>121</v>
      </c>
      <c r="H8" s="20">
        <v>121</v>
      </c>
      <c r="I8" s="21" t="s">
        <v>69</v>
      </c>
      <c r="J8" s="21">
        <v>42.751563699999998</v>
      </c>
      <c r="K8" s="19">
        <v>-83.134467900000004</v>
      </c>
      <c r="L8" s="21">
        <f>INDEX('course_coordinates (1)'!$D$2:$D$145,MATCH('Main Data'!N5,'course_coordinates (1)'!$A$2:$A$145,0))</f>
        <v>42.751563699999998</v>
      </c>
      <c r="M8" s="19">
        <f>INDEX('course_coordinates (1)'!$E$2:$E$145,MATCH('Main Data'!N5,'course_coordinates (1)'!$A$2:$A$145,0))</f>
        <v>-83.134467900000004</v>
      </c>
      <c r="N8" s="19" t="s">
        <v>551</v>
      </c>
    </row>
    <row r="9" spans="1:14" x14ac:dyDescent="0.3">
      <c r="A9" s="20">
        <v>27</v>
      </c>
      <c r="B9" s="20" t="s">
        <v>643</v>
      </c>
      <c r="C9" s="20" t="s">
        <v>113</v>
      </c>
      <c r="D9" s="20" t="s">
        <v>64</v>
      </c>
      <c r="E9" s="20" t="s">
        <v>15</v>
      </c>
      <c r="F9" s="38">
        <v>4.3</v>
      </c>
      <c r="G9" s="21">
        <f>VLOOKUP(B9, 'Slope Ratings'!$A$2:$C$147, 2, TRUE)</f>
        <v>121</v>
      </c>
      <c r="H9" s="20">
        <v>502</v>
      </c>
      <c r="I9" s="21"/>
      <c r="J9" s="21">
        <v>42.476184199999999</v>
      </c>
      <c r="K9" s="19">
        <v>-83.163585400000002</v>
      </c>
      <c r="L9" s="21">
        <f>INDEX('course_coordinates (1)'!$D$2:$D$145,MATCH('Main Data'!N88,'course_coordinates (1)'!$A$2:$A$145,0))</f>
        <v>42.476184199999999</v>
      </c>
      <c r="M9" s="19">
        <f>INDEX('course_coordinates (1)'!$E$2:$E$145,MATCH('Main Data'!N88,'course_coordinates (1)'!$A$2:$A$145,0))</f>
        <v>-83.163585400000002</v>
      </c>
      <c r="N9" s="19" t="s">
        <v>114</v>
      </c>
    </row>
    <row r="10" spans="1:14" x14ac:dyDescent="0.3">
      <c r="A10" s="20">
        <v>119</v>
      </c>
      <c r="B10" s="20" t="s">
        <v>684</v>
      </c>
      <c r="C10" s="20" t="s">
        <v>545</v>
      </c>
      <c r="D10" s="20" t="s">
        <v>213</v>
      </c>
      <c r="E10" s="20" t="s">
        <v>15</v>
      </c>
      <c r="F10" s="38">
        <v>3.7</v>
      </c>
      <c r="G10" s="21">
        <f>VLOOKUP(B10, 'Slope Ratings'!$A$2:$C$147, 2, TRUE)</f>
        <v>121</v>
      </c>
      <c r="H10" s="28">
        <v>243</v>
      </c>
      <c r="I10" s="29"/>
      <c r="J10" s="21">
        <v>42.582906199999996</v>
      </c>
      <c r="K10" s="19">
        <v>-83.252639299999998</v>
      </c>
      <c r="L10" s="21">
        <f>INDEX('course_coordinates (1)'!$D$2:$D$145,MATCH('Main Data'!N6,'course_coordinates (1)'!$A$2:$A$145,0))</f>
        <v>42.582906199999996</v>
      </c>
      <c r="M10" s="19">
        <f>INDEX('course_coordinates (1)'!$E$2:$E$145,MATCH('Main Data'!N6,'course_coordinates (1)'!$A$2:$A$145,0))</f>
        <v>-83.252639299999998</v>
      </c>
      <c r="N10" s="19" t="s">
        <v>191</v>
      </c>
    </row>
    <row r="11" spans="1:14" x14ac:dyDescent="0.3">
      <c r="A11" s="20">
        <v>66</v>
      </c>
      <c r="B11" s="20" t="s">
        <v>603</v>
      </c>
      <c r="C11" s="20" t="s">
        <v>115</v>
      </c>
      <c r="D11" s="20" t="s">
        <v>64</v>
      </c>
      <c r="E11" s="20" t="s">
        <v>15</v>
      </c>
      <c r="F11" s="38">
        <v>4.0999999999999996</v>
      </c>
      <c r="G11" s="21">
        <f>VLOOKUP(B11, 'Slope Ratings'!$A$2:$C$147, 2, TRUE)</f>
        <v>121</v>
      </c>
      <c r="H11" s="20">
        <v>214</v>
      </c>
      <c r="I11" s="21"/>
      <c r="J11" s="21">
        <v>42.473851000000003</v>
      </c>
      <c r="K11" s="19">
        <v>-83.568365200000002</v>
      </c>
      <c r="L11" s="21">
        <f>INDEX('course_coordinates (1)'!$D$2:$D$145,MATCH('Main Data'!N117,'course_coordinates (1)'!$A$2:$A$145,0))</f>
        <v>42.473851000000003</v>
      </c>
      <c r="M11" s="19">
        <f>INDEX('course_coordinates (1)'!$E$2:$E$145,MATCH('Main Data'!N117,'course_coordinates (1)'!$A$2:$A$145,0))</f>
        <v>-83.568365200000002</v>
      </c>
      <c r="N11" s="19" t="s">
        <v>264</v>
      </c>
    </row>
    <row r="12" spans="1:14" x14ac:dyDescent="0.3">
      <c r="A12" s="20">
        <v>1</v>
      </c>
      <c r="B12" s="20" t="s">
        <v>640</v>
      </c>
      <c r="C12" s="28" t="s">
        <v>77</v>
      </c>
      <c r="D12" s="28" t="s">
        <v>64</v>
      </c>
      <c r="E12" s="28" t="s">
        <v>65</v>
      </c>
      <c r="F12" s="39">
        <v>4.5999999999999996</v>
      </c>
      <c r="G12" s="21">
        <f>VLOOKUP(B12, 'Slope Ratings'!$A$2:$C$147, 2, TRUE)</f>
        <v>121</v>
      </c>
      <c r="H12" s="28">
        <v>52</v>
      </c>
      <c r="I12" s="29"/>
      <c r="J12" s="21">
        <v>42.7458934</v>
      </c>
      <c r="K12" s="19">
        <v>-83.530673500000006</v>
      </c>
      <c r="L12" s="21">
        <f>INDEX('course_coordinates (1)'!$D$2:$D$145,MATCH('Main Data'!N104,'course_coordinates (1)'!$A$2:$A$145,0))</f>
        <v>42.7458934</v>
      </c>
      <c r="M12" s="19">
        <f>INDEX('course_coordinates (1)'!$E$2:$E$145,MATCH('Main Data'!N104,'course_coordinates (1)'!$A$2:$A$145,0))</f>
        <v>-83.530673500000006</v>
      </c>
      <c r="N12" s="19" t="s">
        <v>17</v>
      </c>
    </row>
    <row r="13" spans="1:14" x14ac:dyDescent="0.3">
      <c r="A13" s="20">
        <v>104</v>
      </c>
      <c r="B13" s="20" t="s">
        <v>619</v>
      </c>
      <c r="C13" s="20" t="s">
        <v>46</v>
      </c>
      <c r="D13" s="20" t="s">
        <v>19</v>
      </c>
      <c r="E13" s="20" t="s">
        <v>15</v>
      </c>
      <c r="F13" s="38">
        <v>3.9</v>
      </c>
      <c r="G13" s="21">
        <f>VLOOKUP(B13, 'Slope Ratings'!$A$2:$C$147, 2, TRUE)</f>
        <v>121</v>
      </c>
      <c r="H13" s="20">
        <v>187</v>
      </c>
      <c r="I13" s="21"/>
      <c r="J13" s="21">
        <v>42.5195905</v>
      </c>
      <c r="K13" s="19">
        <v>-83.323321899999996</v>
      </c>
      <c r="L13" s="21">
        <f>INDEX('course_coordinates (1)'!$D$2:$D$145,MATCH('Main Data'!N33,'course_coordinates (1)'!$A$2:$A$145,0))</f>
        <v>42.5195905</v>
      </c>
      <c r="M13" s="19">
        <f>INDEX('course_coordinates (1)'!$E$2:$E$145,MATCH('Main Data'!N33,'course_coordinates (1)'!$A$2:$A$145,0))</f>
        <v>-83.323321899999996</v>
      </c>
      <c r="N13" s="19" t="s">
        <v>243</v>
      </c>
    </row>
    <row r="14" spans="1:14" x14ac:dyDescent="0.3">
      <c r="A14" s="20">
        <v>93</v>
      </c>
      <c r="B14" s="20" t="s">
        <v>707</v>
      </c>
      <c r="C14" s="20" t="s">
        <v>265</v>
      </c>
      <c r="D14" s="20" t="s">
        <v>266</v>
      </c>
      <c r="E14" s="20" t="s">
        <v>15</v>
      </c>
      <c r="F14" s="38">
        <v>4.3</v>
      </c>
      <c r="G14" s="21">
        <f>VLOOKUP(B14, 'Slope Ratings'!$A$2:$C$147, 2, TRUE)</f>
        <v>117</v>
      </c>
      <c r="H14" s="20">
        <v>113</v>
      </c>
      <c r="I14" s="21"/>
      <c r="J14" s="21">
        <v>42.806509400000003</v>
      </c>
      <c r="K14" s="19">
        <v>-83.244294400000001</v>
      </c>
      <c r="L14" s="21">
        <f>INDEX('course_coordinates (1)'!$D$2:$D$145,MATCH('Main Data'!N77,'course_coordinates (1)'!$A$2:$A$145,0))</f>
        <v>42.806509400000003</v>
      </c>
      <c r="M14" s="19">
        <f>INDEX('course_coordinates (1)'!$E$2:$E$145,MATCH('Main Data'!N77,'course_coordinates (1)'!$A$2:$A$145,0))</f>
        <v>-83.244294400000001</v>
      </c>
      <c r="N14" s="19" t="s">
        <v>149</v>
      </c>
    </row>
    <row r="15" spans="1:14" x14ac:dyDescent="0.3">
      <c r="A15" s="20">
        <v>28</v>
      </c>
      <c r="B15" s="20" t="s">
        <v>610</v>
      </c>
      <c r="C15" s="20" t="s">
        <v>18</v>
      </c>
      <c r="D15" s="20" t="s">
        <v>19</v>
      </c>
      <c r="E15" s="20" t="s">
        <v>15</v>
      </c>
      <c r="F15" s="38">
        <v>3.7</v>
      </c>
      <c r="G15" s="21">
        <f>VLOOKUP(B15, 'Slope Ratings'!$A$2:$C$147, 2, TRUE)</f>
        <v>117</v>
      </c>
      <c r="H15" s="20">
        <v>285</v>
      </c>
      <c r="I15" s="29"/>
      <c r="J15" s="21">
        <v>42.7353138</v>
      </c>
      <c r="K15" s="19">
        <v>-83.038511700000001</v>
      </c>
      <c r="L15" s="21">
        <f>INDEX('course_coordinates (1)'!$D$2:$D$145,MATCH('Main Data'!N35,'course_coordinates (1)'!$A$2:$A$145,0))</f>
        <v>42.7353138</v>
      </c>
      <c r="M15" s="19">
        <f>INDEX('course_coordinates (1)'!$E$2:$E$145,MATCH('Main Data'!N35,'course_coordinates (1)'!$A$2:$A$145,0))</f>
        <v>-83.038511700000001</v>
      </c>
      <c r="N15" s="19" t="s">
        <v>116</v>
      </c>
    </row>
    <row r="16" spans="1:14" x14ac:dyDescent="0.3">
      <c r="A16" s="20">
        <v>53</v>
      </c>
      <c r="B16" s="20" t="s">
        <v>675</v>
      </c>
      <c r="C16" s="20" t="s">
        <v>217</v>
      </c>
      <c r="D16" s="20" t="s">
        <v>213</v>
      </c>
      <c r="E16" s="20" t="s">
        <v>15</v>
      </c>
      <c r="F16" s="38">
        <v>4.2</v>
      </c>
      <c r="G16" s="21">
        <f>VLOOKUP(B16, 'Slope Ratings'!$A$2:$C$147, 2, TRUE)</f>
        <v>124</v>
      </c>
      <c r="H16" s="20">
        <v>298</v>
      </c>
      <c r="I16" s="21"/>
      <c r="J16" s="21">
        <v>42.302698599999999</v>
      </c>
      <c r="K16" s="19">
        <v>-83.725076200000004</v>
      </c>
      <c r="L16" s="21">
        <f>INDEX('course_coordinates (1)'!$D$2:$D$145,MATCH('Main Data'!N60,'course_coordinates (1)'!$A$2:$A$145,0))</f>
        <v>42.302698599999999</v>
      </c>
      <c r="M16" s="19">
        <f>INDEX('course_coordinates (1)'!$E$2:$E$145,MATCH('Main Data'!N60,'course_coordinates (1)'!$A$2:$A$145,0))</f>
        <v>-83.725076200000004</v>
      </c>
      <c r="N16" s="19" t="s">
        <v>211</v>
      </c>
    </row>
    <row r="17" spans="1:14" x14ac:dyDescent="0.3">
      <c r="A17" s="20">
        <v>29</v>
      </c>
      <c r="B17" s="20" t="s">
        <v>620</v>
      </c>
      <c r="C17" s="20" t="s">
        <v>34</v>
      </c>
      <c r="D17" s="20" t="s">
        <v>19</v>
      </c>
      <c r="E17" s="20" t="s">
        <v>15</v>
      </c>
      <c r="F17" s="38">
        <v>4.5</v>
      </c>
      <c r="G17" s="21">
        <f>VLOOKUP(B17, 'Slope Ratings'!$A$2:$C$147, 2, TRUE)</f>
        <v>124</v>
      </c>
      <c r="H17" s="20">
        <v>1030</v>
      </c>
      <c r="I17" s="21"/>
      <c r="J17" s="21">
        <v>42.685236600000003</v>
      </c>
      <c r="K17" s="19">
        <v>-83.149237499999998</v>
      </c>
      <c r="L17" s="21">
        <f>INDEX('course_coordinates (1)'!$D$2:$D$145,MATCH('Main Data'!N40,'course_coordinates (1)'!$A$2:$A$145,0))</f>
        <v>42.685236600000003</v>
      </c>
      <c r="M17" s="19">
        <f>INDEX('course_coordinates (1)'!$E$2:$E$145,MATCH('Main Data'!N40,'course_coordinates (1)'!$A$2:$A$145,0))</f>
        <v>-83.149237499999998</v>
      </c>
      <c r="N17" s="19" t="s">
        <v>117</v>
      </c>
    </row>
    <row r="18" spans="1:14" x14ac:dyDescent="0.3">
      <c r="A18" s="20">
        <v>54</v>
      </c>
      <c r="B18" s="20" t="s">
        <v>658</v>
      </c>
      <c r="C18" s="20" t="s">
        <v>105</v>
      </c>
      <c r="D18" s="20" t="s">
        <v>64</v>
      </c>
      <c r="E18" s="20" t="s">
        <v>15</v>
      </c>
      <c r="F18" s="38">
        <v>4.2</v>
      </c>
      <c r="G18" s="21">
        <f>VLOOKUP(B18, 'Slope Ratings'!$A$2:$C$147, 2, TRUE)</f>
        <v>139</v>
      </c>
      <c r="H18" s="20">
        <v>205</v>
      </c>
      <c r="I18" s="21"/>
      <c r="J18" s="21">
        <v>42.676975900000002</v>
      </c>
      <c r="K18" s="19">
        <v>-83.021367400000003</v>
      </c>
      <c r="L18" s="21">
        <f>INDEX('course_coordinates (1)'!$D$2:$D$145,MATCH('Main Data'!N130,'course_coordinates (1)'!$A$2:$A$145,0))</f>
        <v>42.676975900000002</v>
      </c>
      <c r="M18" s="19">
        <f>INDEX('course_coordinates (1)'!$E$2:$E$145,MATCH('Main Data'!N130,'course_coordinates (1)'!$A$2:$A$145,0))</f>
        <v>-83.021367400000003</v>
      </c>
      <c r="N18" s="19" t="s">
        <v>214</v>
      </c>
    </row>
    <row r="19" spans="1:14" x14ac:dyDescent="0.3">
      <c r="A19" s="20">
        <v>67</v>
      </c>
      <c r="B19" s="20" t="s">
        <v>644</v>
      </c>
      <c r="C19" s="20" t="s">
        <v>113</v>
      </c>
      <c r="D19" s="20" t="s">
        <v>64</v>
      </c>
      <c r="E19" s="20" t="s">
        <v>15</v>
      </c>
      <c r="F19" s="38">
        <v>3.9</v>
      </c>
      <c r="G19" s="21">
        <f>VLOOKUP(B19, 'Slope Ratings'!$A$2:$C$147, 2, TRUE)</f>
        <v>139</v>
      </c>
      <c r="H19" s="20">
        <v>304</v>
      </c>
      <c r="I19" s="21"/>
      <c r="J19" s="21">
        <v>42.414724100000001</v>
      </c>
      <c r="K19" s="19">
        <v>-82.894073300000002</v>
      </c>
      <c r="L19" s="21">
        <f>INDEX('course_coordinates (1)'!$D$2:$D$145,MATCH('Main Data'!N16,'course_coordinates (1)'!$A$2:$A$145,0))</f>
        <v>42.414724100000001</v>
      </c>
      <c r="M19" s="19">
        <f>INDEX('course_coordinates (1)'!$E$2:$E$145,MATCH('Main Data'!N16,'course_coordinates (1)'!$A$2:$A$145,0))</f>
        <v>-82.894073300000002</v>
      </c>
      <c r="N19" s="19" t="s">
        <v>588</v>
      </c>
    </row>
    <row r="20" spans="1:14" x14ac:dyDescent="0.3">
      <c r="A20" s="20">
        <v>108</v>
      </c>
      <c r="B20" s="20" t="s">
        <v>211</v>
      </c>
      <c r="C20" s="20" t="s">
        <v>212</v>
      </c>
      <c r="D20" s="20" t="s">
        <v>213</v>
      </c>
      <c r="E20" s="20" t="s">
        <v>65</v>
      </c>
      <c r="F20" s="38">
        <v>4.5999999999999996</v>
      </c>
      <c r="G20" s="21">
        <f>VLOOKUP(B20, 'Slope Ratings'!$A$2:$C$147, 2, TRUE)</f>
        <v>139</v>
      </c>
      <c r="H20" s="20">
        <v>269</v>
      </c>
      <c r="I20" s="21"/>
      <c r="J20" s="21">
        <v>42.482575599999997</v>
      </c>
      <c r="K20" s="19">
        <v>-83.419117200000002</v>
      </c>
      <c r="L20" s="21">
        <f>INDEX('course_coordinates (1)'!$D$2:$D$145,MATCH('Main Data'!N25,'course_coordinates (1)'!$A$2:$A$145,0))</f>
        <v>42.482575599999997</v>
      </c>
      <c r="M20" s="19">
        <f>INDEX('course_coordinates (1)'!$E$2:$E$145,MATCH('Main Data'!N25,'course_coordinates (1)'!$A$2:$A$145,0))</f>
        <v>-83.419117200000002</v>
      </c>
      <c r="N20" s="19" t="s">
        <v>216</v>
      </c>
    </row>
    <row r="21" spans="1:14" x14ac:dyDescent="0.3">
      <c r="A21" s="20">
        <v>78</v>
      </c>
      <c r="B21" s="20" t="s">
        <v>604</v>
      </c>
      <c r="C21" s="20" t="s">
        <v>118</v>
      </c>
      <c r="D21" s="20" t="s">
        <v>64</v>
      </c>
      <c r="E21" s="20" t="s">
        <v>15</v>
      </c>
      <c r="F21" s="38">
        <v>4.0999999999999996</v>
      </c>
      <c r="G21" s="21">
        <f>VLOOKUP(B21, 'Slope Ratings'!$A$2:$C$147, 2, TRUE)</f>
        <v>139</v>
      </c>
      <c r="H21" s="20">
        <v>287</v>
      </c>
      <c r="I21" s="21"/>
      <c r="J21" s="21">
        <v>42.3177515</v>
      </c>
      <c r="K21" s="19">
        <v>-83.254531499999999</v>
      </c>
      <c r="L21" s="21">
        <f>INDEX('course_coordinates (1)'!$D$2:$D$145,MATCH('Main Data'!N18,'course_coordinates (1)'!$A$2:$A$145,0))</f>
        <v>42.3177515</v>
      </c>
      <c r="M21" s="19">
        <f>INDEX('course_coordinates (1)'!$E$2:$E$145,MATCH('Main Data'!N18,'course_coordinates (1)'!$A$2:$A$145,0))</f>
        <v>-83.254531499999999</v>
      </c>
      <c r="N21" s="19" t="s">
        <v>581</v>
      </c>
    </row>
    <row r="22" spans="1:14" x14ac:dyDescent="0.3">
      <c r="A22" s="20">
        <v>115</v>
      </c>
      <c r="B22" s="20" t="s">
        <v>596</v>
      </c>
      <c r="C22" s="20" t="s">
        <v>19</v>
      </c>
      <c r="D22" s="20" t="s">
        <v>19</v>
      </c>
      <c r="E22" s="20" t="s">
        <v>15</v>
      </c>
      <c r="F22" s="38">
        <v>3.9</v>
      </c>
      <c r="G22" s="21">
        <f>VLOOKUP(B22, 'Slope Ratings'!$A$2:$C$147, 2, TRUE)</f>
        <v>139</v>
      </c>
      <c r="H22" s="20">
        <v>130</v>
      </c>
      <c r="I22" s="21" t="s">
        <v>52</v>
      </c>
      <c r="J22" s="21">
        <v>42.608721000000003</v>
      </c>
      <c r="K22" s="19">
        <v>-83.231900100000004</v>
      </c>
      <c r="L22" s="21">
        <f>INDEX('course_coordinates (1)'!$D$2:$D$145,MATCH('Main Data'!N46,'course_coordinates (1)'!$A$2:$A$145,0))</f>
        <v>42.608721000000003</v>
      </c>
      <c r="M22" s="19">
        <f>INDEX('course_coordinates (1)'!$E$2:$E$145,MATCH('Main Data'!N46,'course_coordinates (1)'!$A$2:$A$145,0))</f>
        <v>-83.231900100000004</v>
      </c>
      <c r="N22" s="19" t="s">
        <v>194</v>
      </c>
    </row>
    <row r="23" spans="1:14" x14ac:dyDescent="0.3">
      <c r="A23" s="20">
        <v>15</v>
      </c>
      <c r="B23" s="20" t="s">
        <v>704</v>
      </c>
      <c r="C23" s="20" t="s">
        <v>215</v>
      </c>
      <c r="D23" s="20" t="s">
        <v>213</v>
      </c>
      <c r="E23" s="20" t="s">
        <v>65</v>
      </c>
      <c r="F23" s="38">
        <v>4.5</v>
      </c>
      <c r="G23" s="21">
        <f>VLOOKUP(B23, 'Slope Ratings'!$A$2:$C$147, 2, TRUE)</f>
        <v>139</v>
      </c>
      <c r="H23" s="20">
        <v>234</v>
      </c>
      <c r="I23" s="21"/>
      <c r="J23" s="21">
        <v>42.723056700000001</v>
      </c>
      <c r="K23" s="19">
        <v>-82.757110499999996</v>
      </c>
      <c r="L23" s="21">
        <f>INDEX('course_coordinates (1)'!$D$2:$D$145,MATCH('Main Data'!N69,'course_coordinates (1)'!$A$2:$A$145,0))</f>
        <v>42.723056700000001</v>
      </c>
      <c r="M23" s="19">
        <f>INDEX('course_coordinates (1)'!$E$2:$E$145,MATCH('Main Data'!N69,'course_coordinates (1)'!$A$2:$A$145,0))</f>
        <v>-82.757110499999996</v>
      </c>
      <c r="N23" s="19" t="s">
        <v>70</v>
      </c>
    </row>
    <row r="24" spans="1:14" x14ac:dyDescent="0.3">
      <c r="A24" s="20">
        <v>105</v>
      </c>
      <c r="B24" s="20" t="s">
        <v>542</v>
      </c>
      <c r="C24" s="20" t="s">
        <v>215</v>
      </c>
      <c r="D24" s="20" t="s">
        <v>213</v>
      </c>
      <c r="E24" s="20" t="s">
        <v>15</v>
      </c>
      <c r="F24" s="38">
        <v>3.6</v>
      </c>
      <c r="G24" s="21">
        <f>VLOOKUP(B24, 'Slope Ratings'!$A$2:$C$147, 2, TRUE)</f>
        <v>139</v>
      </c>
      <c r="H24" s="20">
        <v>148</v>
      </c>
      <c r="I24" s="29">
        <v>1922</v>
      </c>
      <c r="J24" s="21">
        <v>42.2099154</v>
      </c>
      <c r="K24" s="19">
        <v>-83.2832109</v>
      </c>
      <c r="L24" s="21">
        <f>INDEX('course_coordinates (1)'!$D$2:$D$145,MATCH('Main Data'!N59,'course_coordinates (1)'!$A$2:$A$145,0))</f>
        <v>42.2099154</v>
      </c>
      <c r="M24" s="19">
        <f>INDEX('course_coordinates (1)'!$E$2:$E$145,MATCH('Main Data'!N59,'course_coordinates (1)'!$A$2:$A$145,0))</f>
        <v>-83.2832109</v>
      </c>
      <c r="N24" s="19" t="s">
        <v>151</v>
      </c>
    </row>
    <row r="25" spans="1:14" x14ac:dyDescent="0.3">
      <c r="A25" s="20">
        <v>91</v>
      </c>
      <c r="B25" s="20" t="s">
        <v>216</v>
      </c>
      <c r="C25" s="20" t="s">
        <v>217</v>
      </c>
      <c r="D25" s="20" t="s">
        <v>213</v>
      </c>
      <c r="E25" s="20" t="s">
        <v>65</v>
      </c>
      <c r="F25" s="38">
        <v>4.7</v>
      </c>
      <c r="G25" s="21">
        <f>VLOOKUP(B25, 'Slope Ratings'!$A$2:$C$147, 2, TRUE)</f>
        <v>139</v>
      </c>
      <c r="H25" s="20">
        <v>605</v>
      </c>
      <c r="I25" s="21" t="s">
        <v>219</v>
      </c>
      <c r="J25" s="21">
        <v>42.498356299999998</v>
      </c>
      <c r="K25" s="19">
        <v>-83.424146399999998</v>
      </c>
      <c r="L25" s="21">
        <f>INDEX('course_coordinates (1)'!$D$2:$D$145,MATCH('Main Data'!N14,'course_coordinates (1)'!$A$2:$A$145,0))</f>
        <v>42.498356299999998</v>
      </c>
      <c r="M25" s="19">
        <f>INDEX('course_coordinates (1)'!$E$2:$E$145,MATCH('Main Data'!N14,'course_coordinates (1)'!$A$2:$A$145,0))</f>
        <v>-83.424146399999998</v>
      </c>
      <c r="N25" s="19" t="s">
        <v>153</v>
      </c>
    </row>
    <row r="26" spans="1:14" x14ac:dyDescent="0.3">
      <c r="A26" s="20">
        <v>58</v>
      </c>
      <c r="B26" s="20" t="s">
        <v>687</v>
      </c>
      <c r="C26" s="20" t="s">
        <v>265</v>
      </c>
      <c r="D26" s="20" t="s">
        <v>213</v>
      </c>
      <c r="E26" s="20" t="s">
        <v>15</v>
      </c>
      <c r="F26" s="38">
        <v>3.8</v>
      </c>
      <c r="G26" s="21">
        <f>VLOOKUP(B26, 'Slope Ratings'!$A$2:$C$147, 2, TRUE)</f>
        <v>139</v>
      </c>
      <c r="H26" s="28">
        <v>261</v>
      </c>
      <c r="I26" s="29"/>
      <c r="J26" s="21">
        <v>42.585863400000001</v>
      </c>
      <c r="K26" s="19">
        <v>-83.382677400000006</v>
      </c>
      <c r="L26" s="21">
        <f>INDEX('course_coordinates (1)'!$D$2:$D$145,MATCH('Main Data'!N76,'course_coordinates (1)'!$A$2:$A$145,0))</f>
        <v>42.585863400000001</v>
      </c>
      <c r="M26" s="19">
        <f>INDEX('course_coordinates (1)'!$E$2:$E$145,MATCH('Main Data'!N76,'course_coordinates (1)'!$A$2:$A$145,0))</f>
        <v>-83.382677400000006</v>
      </c>
      <c r="N26" s="19" t="s">
        <v>228</v>
      </c>
    </row>
    <row r="27" spans="1:14" x14ac:dyDescent="0.3">
      <c r="A27" s="20">
        <v>2</v>
      </c>
      <c r="B27" s="20" t="s">
        <v>597</v>
      </c>
      <c r="C27" s="20" t="s">
        <v>71</v>
      </c>
      <c r="D27" s="20" t="s">
        <v>64</v>
      </c>
      <c r="E27" s="20" t="s">
        <v>65</v>
      </c>
      <c r="F27" s="38">
        <v>4.7</v>
      </c>
      <c r="G27" s="21">
        <f>VLOOKUP(B27, 'Slope Ratings'!$A$2:$C$147, 2, TRUE)</f>
        <v>139</v>
      </c>
      <c r="H27" s="20">
        <v>224</v>
      </c>
      <c r="I27" s="21"/>
      <c r="J27" s="21">
        <v>42.834254000000001</v>
      </c>
      <c r="K27" s="19">
        <v>-83.277655999999993</v>
      </c>
      <c r="L27" s="21">
        <f>INDEX('course_coordinates (1)'!$D$2:$D$145,MATCH('Main Data'!N7,'course_coordinates (1)'!$A$2:$A$145,0))</f>
        <v>42.834254000000001</v>
      </c>
      <c r="M27" s="19">
        <f>INDEX('course_coordinates (1)'!$E$2:$E$145,MATCH('Main Data'!N7,'course_coordinates (1)'!$A$2:$A$145,0))</f>
        <v>-83.277655999999993</v>
      </c>
      <c r="N27" s="19" t="s">
        <v>20</v>
      </c>
    </row>
    <row r="28" spans="1:14" x14ac:dyDescent="0.3">
      <c r="A28" s="20">
        <v>30</v>
      </c>
      <c r="B28" s="20" t="s">
        <v>659</v>
      </c>
      <c r="C28" s="20" t="s">
        <v>92</v>
      </c>
      <c r="D28" s="20" t="s">
        <v>64</v>
      </c>
      <c r="E28" s="20" t="s">
        <v>15</v>
      </c>
      <c r="F28" s="41">
        <v>4</v>
      </c>
      <c r="G28" s="21">
        <f>VLOOKUP(B28, 'Slope Ratings'!$A$2:$C$147, 2, TRUE)</f>
        <v>139</v>
      </c>
      <c r="H28" s="20">
        <v>195</v>
      </c>
      <c r="I28" s="21"/>
      <c r="J28" s="21">
        <v>42.682431899999997</v>
      </c>
      <c r="K28" s="19">
        <v>-82.850882499999997</v>
      </c>
      <c r="L28" s="21">
        <f>INDEX('course_coordinates (1)'!$D$2:$D$145,MATCH('Main Data'!N97,'course_coordinates (1)'!$A$2:$A$145,0))</f>
        <v>42.682431899999997</v>
      </c>
      <c r="M28" s="19">
        <f>INDEX('course_coordinates (1)'!$E$2:$E$145,MATCH('Main Data'!N97,'course_coordinates (1)'!$A$2:$A$145,0))</f>
        <v>-82.850882499999997</v>
      </c>
      <c r="N28" s="19" t="s">
        <v>119</v>
      </c>
    </row>
    <row r="29" spans="1:14" x14ac:dyDescent="0.3">
      <c r="A29" s="20">
        <v>16</v>
      </c>
      <c r="B29" s="20" t="s">
        <v>105</v>
      </c>
      <c r="C29" s="20" t="s">
        <v>105</v>
      </c>
      <c r="D29" s="20" t="s">
        <v>64</v>
      </c>
      <c r="E29" s="20" t="s">
        <v>15</v>
      </c>
      <c r="F29" s="38">
        <v>4.2</v>
      </c>
      <c r="G29" s="21">
        <f>VLOOKUP(B29, 'Slope Ratings'!$A$2:$C$147, 2, TRUE)</f>
        <v>139</v>
      </c>
      <c r="H29" s="20">
        <v>508</v>
      </c>
      <c r="I29" s="21"/>
      <c r="J29" s="21">
        <v>42.653722100000003</v>
      </c>
      <c r="K29" s="19">
        <v>-83.448766800000001</v>
      </c>
      <c r="L29" s="21">
        <f>INDEX('course_coordinates (1)'!$D$2:$D$145,MATCH('Main Data'!N124,'course_coordinates (1)'!$A$2:$A$145,0))</f>
        <v>42.653722100000003</v>
      </c>
      <c r="M29" s="19">
        <f>INDEX('course_coordinates (1)'!$E$2:$E$145,MATCH('Main Data'!N124,'course_coordinates (1)'!$A$2:$A$145,0))</f>
        <v>-83.448766800000001</v>
      </c>
      <c r="N29" s="19" t="s">
        <v>72</v>
      </c>
    </row>
    <row r="30" spans="1:14" x14ac:dyDescent="0.3">
      <c r="A30" s="20">
        <v>31</v>
      </c>
      <c r="B30" s="20" t="s">
        <v>669</v>
      </c>
      <c r="C30" s="20" t="s">
        <v>229</v>
      </c>
      <c r="D30" s="20" t="s">
        <v>213</v>
      </c>
      <c r="E30" s="20" t="s">
        <v>15</v>
      </c>
      <c r="F30" s="38">
        <v>4.2</v>
      </c>
      <c r="G30" s="21">
        <f>VLOOKUP(B30, 'Slope Ratings'!$A$2:$C$147, 2, TRUE)</f>
        <v>139</v>
      </c>
      <c r="H30" s="20">
        <v>409</v>
      </c>
      <c r="I30" s="21"/>
      <c r="J30" s="21">
        <v>42.701270600000001</v>
      </c>
      <c r="K30" s="19">
        <v>-83.489377399999995</v>
      </c>
      <c r="L30" s="21">
        <f>INDEX('course_coordinates (1)'!$D$2:$D$145,MATCH('Main Data'!N52,'course_coordinates (1)'!$A$2:$A$145,0))</f>
        <v>42.701270600000001</v>
      </c>
      <c r="M30" s="19">
        <f>INDEX('course_coordinates (1)'!$E$2:$E$145,MATCH('Main Data'!N52,'course_coordinates (1)'!$A$2:$A$145,0))</f>
        <v>-83.489377399999995</v>
      </c>
      <c r="N30" s="19" t="s">
        <v>121</v>
      </c>
    </row>
    <row r="31" spans="1:14" x14ac:dyDescent="0.3">
      <c r="A31" s="20">
        <v>95</v>
      </c>
      <c r="B31" s="20" t="s">
        <v>611</v>
      </c>
      <c r="C31" s="20" t="s">
        <v>21</v>
      </c>
      <c r="D31" s="20" t="s">
        <v>19</v>
      </c>
      <c r="E31" s="20" t="s">
        <v>15</v>
      </c>
      <c r="F31" s="38">
        <v>4.0999999999999996</v>
      </c>
      <c r="G31" s="21">
        <f>VLOOKUP(B31, 'Slope Ratings'!$A$2:$C$147, 2, TRUE)</f>
        <v>139</v>
      </c>
      <c r="H31" s="20">
        <v>927</v>
      </c>
      <c r="I31" s="21">
        <v>1972</v>
      </c>
      <c r="J31" s="21">
        <v>42.792331599999997</v>
      </c>
      <c r="K31" s="19">
        <v>-83.057266200000001</v>
      </c>
      <c r="L31" s="21">
        <f>INDEX('course_coordinates (1)'!$D$2:$D$145,MATCH('Main Data'!N42,'course_coordinates (1)'!$A$2:$A$145,0))</f>
        <v>42.792331599999997</v>
      </c>
      <c r="M31" s="19">
        <f>INDEX('course_coordinates (1)'!$E$2:$E$145,MATCH('Main Data'!N42,'course_coordinates (1)'!$A$2:$A$145,0))</f>
        <v>-83.057266200000001</v>
      </c>
      <c r="N31" s="19" t="s">
        <v>245</v>
      </c>
    </row>
    <row r="32" spans="1:14" x14ac:dyDescent="0.3">
      <c r="A32" s="20">
        <v>87</v>
      </c>
      <c r="B32" s="20" t="s">
        <v>709</v>
      </c>
      <c r="C32" s="20" t="s">
        <v>120</v>
      </c>
      <c r="D32" s="20" t="s">
        <v>64</v>
      </c>
      <c r="E32" s="20" t="s">
        <v>15</v>
      </c>
      <c r="F32" s="38">
        <v>3.9</v>
      </c>
      <c r="G32" s="21">
        <f>VLOOKUP(B32, 'Slope Ratings'!$A$2:$C$147, 2, TRUE)</f>
        <v>122</v>
      </c>
      <c r="H32" s="20">
        <v>432</v>
      </c>
      <c r="I32" s="21"/>
      <c r="J32" s="21">
        <v>42.385981100000002</v>
      </c>
      <c r="K32" s="19">
        <v>-82.898042200000006</v>
      </c>
      <c r="L32" s="21">
        <f>INDEX('course_coordinates (1)'!$D$2:$D$145,MATCH('Main Data'!N44,'course_coordinates (1)'!$A$2:$A$145,0))</f>
        <v>42.385981100000002</v>
      </c>
      <c r="M32" s="19">
        <f>INDEX('course_coordinates (1)'!$E$2:$E$145,MATCH('Main Data'!N44,'course_coordinates (1)'!$A$2:$A$145,0))</f>
        <v>-82.898042200000006</v>
      </c>
      <c r="N32" s="19" t="s">
        <v>267</v>
      </c>
    </row>
    <row r="33" spans="1:14" x14ac:dyDescent="0.3">
      <c r="A33" s="20">
        <v>17</v>
      </c>
      <c r="B33" s="20" t="s">
        <v>625</v>
      </c>
      <c r="C33" s="20" t="s">
        <v>73</v>
      </c>
      <c r="D33" s="20" t="s">
        <v>64</v>
      </c>
      <c r="E33" s="20" t="s">
        <v>65</v>
      </c>
      <c r="F33" s="38">
        <v>4.5999999999999996</v>
      </c>
      <c r="G33" s="21">
        <f>VLOOKUP(B33, 'Slope Ratings'!$A$2:$C$147, 2, TRUE)</f>
        <v>122</v>
      </c>
      <c r="H33" s="20">
        <v>141</v>
      </c>
      <c r="I33" s="21"/>
      <c r="J33" s="21">
        <v>42.618441300000001</v>
      </c>
      <c r="K33" s="19">
        <v>-83.525782899999996</v>
      </c>
      <c r="L33" s="21">
        <f>INDEX('course_coordinates (1)'!$D$2:$D$145,MATCH('Main Data'!N9,'course_coordinates (1)'!$A$2:$A$145,0))</f>
        <v>42.618441300000001</v>
      </c>
      <c r="M33" s="19">
        <f>INDEX('course_coordinates (1)'!$E$2:$E$145,MATCH('Main Data'!N9,'course_coordinates (1)'!$A$2:$A$145,0))</f>
        <v>-83.525782899999996</v>
      </c>
      <c r="N33" s="19" t="s">
        <v>74</v>
      </c>
    </row>
    <row r="34" spans="1:14" x14ac:dyDescent="0.3">
      <c r="A34" s="20">
        <v>73</v>
      </c>
      <c r="B34" s="20" t="s">
        <v>696</v>
      </c>
      <c r="C34" s="20" t="s">
        <v>122</v>
      </c>
      <c r="D34" s="20" t="s">
        <v>64</v>
      </c>
      <c r="E34" s="20" t="s">
        <v>15</v>
      </c>
      <c r="F34" s="38">
        <v>4.4000000000000004</v>
      </c>
      <c r="G34" s="21">
        <f>VLOOKUP(B34, 'Slope Ratings'!$A$2:$C$147, 2, TRUE)</f>
        <v>122</v>
      </c>
      <c r="H34" s="20">
        <v>702</v>
      </c>
      <c r="I34" s="21"/>
      <c r="J34" s="21">
        <v>42.519966099999998</v>
      </c>
      <c r="K34" s="19">
        <v>-83.570589400000003</v>
      </c>
      <c r="L34" s="21">
        <f>INDEX('course_coordinates (1)'!$D$2:$D$145,MATCH('Main Data'!N65,'course_coordinates (1)'!$A$2:$A$145,0))</f>
        <v>42.519966099999998</v>
      </c>
      <c r="M34" s="19">
        <f>INDEX('course_coordinates (1)'!$E$2:$E$145,MATCH('Main Data'!N65,'course_coordinates (1)'!$A$2:$A$145,0))</f>
        <v>-83.570589400000003</v>
      </c>
      <c r="N34" s="19" t="s">
        <v>549</v>
      </c>
    </row>
    <row r="35" spans="1:14" x14ac:dyDescent="0.3">
      <c r="A35" s="20">
        <v>3</v>
      </c>
      <c r="B35" s="20" t="s">
        <v>676</v>
      </c>
      <c r="C35" s="20" t="s">
        <v>246</v>
      </c>
      <c r="D35" s="20" t="s">
        <v>213</v>
      </c>
      <c r="E35" s="20" t="s">
        <v>15</v>
      </c>
      <c r="F35" s="38">
        <v>4.4000000000000004</v>
      </c>
      <c r="G35" s="21">
        <f>VLOOKUP(B35, 'Slope Ratings'!$A$2:$C$147, 2, TRUE)</f>
        <v>122</v>
      </c>
      <c r="H35" s="20">
        <v>423</v>
      </c>
      <c r="I35" s="21"/>
      <c r="J35" s="21">
        <v>42.426279999999998</v>
      </c>
      <c r="K35" s="19">
        <v>-83.126246199999997</v>
      </c>
      <c r="L35" s="21">
        <f>INDEX('course_coordinates (1)'!$D$2:$D$145,MATCH('Main Data'!N20,'course_coordinates (1)'!$A$2:$A$145,0))</f>
        <v>42.426279999999998</v>
      </c>
      <c r="M35" s="19">
        <f>INDEX('course_coordinates (1)'!$E$2:$E$145,MATCH('Main Data'!N20,'course_coordinates (1)'!$A$2:$A$145,0))</f>
        <v>-83.126246199999997</v>
      </c>
      <c r="N35" s="19" t="s">
        <v>22</v>
      </c>
    </row>
    <row r="36" spans="1:14" x14ac:dyDescent="0.3">
      <c r="A36" s="20">
        <v>124</v>
      </c>
      <c r="B36" s="20" t="s">
        <v>688</v>
      </c>
      <c r="C36" s="20" t="s">
        <v>268</v>
      </c>
      <c r="D36" s="20" t="s">
        <v>266</v>
      </c>
      <c r="E36" s="20" t="s">
        <v>15</v>
      </c>
      <c r="F36" s="38">
        <v>4.5999999999999996</v>
      </c>
      <c r="G36" s="21">
        <f>VLOOKUP(B36, 'Slope Ratings'!$A$2:$C$147, 2, TRUE)</f>
        <v>122</v>
      </c>
      <c r="H36" s="20">
        <v>1066</v>
      </c>
      <c r="I36" s="21" t="s">
        <v>52</v>
      </c>
      <c r="J36" s="21">
        <v>42.790962200000003</v>
      </c>
      <c r="K36" s="19">
        <v>-82.959464999999994</v>
      </c>
      <c r="L36" s="21">
        <f>INDEX('course_coordinates (1)'!$D$2:$D$145,MATCH('Main Data'!N82,'course_coordinates (1)'!$A$2:$A$145,0))</f>
        <v>42.790962200000003</v>
      </c>
      <c r="M36" s="19">
        <f>INDEX('course_coordinates (1)'!$E$2:$E$145,MATCH('Main Data'!N82,'course_coordinates (1)'!$A$2:$A$145,0))</f>
        <v>-82.959464999999994</v>
      </c>
      <c r="N36" s="19" t="s">
        <v>104</v>
      </c>
    </row>
    <row r="37" spans="1:14" x14ac:dyDescent="0.3">
      <c r="A37" s="20">
        <v>94</v>
      </c>
      <c r="B37" s="20" t="s">
        <v>626</v>
      </c>
      <c r="C37" s="20" t="s">
        <v>75</v>
      </c>
      <c r="D37" s="20" t="s">
        <v>64</v>
      </c>
      <c r="E37" s="20" t="s">
        <v>65</v>
      </c>
      <c r="F37" s="38">
        <v>4.4000000000000004</v>
      </c>
      <c r="G37" s="21">
        <f>VLOOKUP(B37, 'Slope Ratings'!$A$2:$C$147, 2, TRUE)</f>
        <v>122</v>
      </c>
      <c r="H37" s="20">
        <v>135</v>
      </c>
      <c r="I37" s="21" t="s">
        <v>27</v>
      </c>
      <c r="J37" s="21">
        <v>42.827319500000002</v>
      </c>
      <c r="K37" s="19">
        <v>-83.182911899999993</v>
      </c>
      <c r="L37" s="21">
        <f>INDEX('course_coordinates (1)'!$D$2:$D$145,MATCH('Main Data'!N15,'course_coordinates (1)'!$A$2:$A$145,0))</f>
        <v>42.827319500000002</v>
      </c>
      <c r="M37" s="19">
        <f>INDEX('course_coordinates (1)'!$E$2:$E$145,MATCH('Main Data'!N15,'course_coordinates (1)'!$A$2:$A$145,0))</f>
        <v>-83.182911899999993</v>
      </c>
      <c r="N37" s="19" t="s">
        <v>155</v>
      </c>
    </row>
    <row r="38" spans="1:14" x14ac:dyDescent="0.3">
      <c r="A38" s="20">
        <v>97</v>
      </c>
      <c r="B38" s="20" t="s">
        <v>697</v>
      </c>
      <c r="C38" s="20" t="s">
        <v>550</v>
      </c>
      <c r="D38" s="20" t="s">
        <v>213</v>
      </c>
      <c r="E38" s="20" t="s">
        <v>15</v>
      </c>
      <c r="F38" s="38">
        <v>4.2</v>
      </c>
      <c r="G38" s="21">
        <f>VLOOKUP(B38, 'Slope Ratings'!$A$2:$C$147, 2, TRUE)</f>
        <v>122</v>
      </c>
      <c r="H38" s="28">
        <v>502</v>
      </c>
      <c r="I38" s="29"/>
      <c r="J38" s="21">
        <v>42.564381099999999</v>
      </c>
      <c r="K38" s="19">
        <v>-83.354633399999997</v>
      </c>
      <c r="L38" s="21">
        <f>INDEX('course_coordinates (1)'!$D$2:$D$145,MATCH('Main Data'!N108,'course_coordinates (1)'!$A$2:$A$145,0))</f>
        <v>42.564381099999999</v>
      </c>
      <c r="M38" s="19">
        <f>INDEX('course_coordinates (1)'!$E$2:$E$145,MATCH('Main Data'!N108,'course_coordinates (1)'!$A$2:$A$145,0))</f>
        <v>-83.354633399999997</v>
      </c>
      <c r="N38" s="19" t="s">
        <v>248</v>
      </c>
    </row>
    <row r="39" spans="1:14" x14ac:dyDescent="0.3">
      <c r="A39" s="20">
        <v>13</v>
      </c>
      <c r="B39" s="20" t="s">
        <v>22</v>
      </c>
      <c r="C39" s="20" t="s">
        <v>23</v>
      </c>
      <c r="D39" s="20" t="s">
        <v>19</v>
      </c>
      <c r="E39" s="20" t="s">
        <v>15</v>
      </c>
      <c r="F39" s="38">
        <v>3.6</v>
      </c>
      <c r="G39" s="21">
        <f>VLOOKUP(B39, 'Slope Ratings'!$A$2:$C$147, 2, TRUE)</f>
        <v>139</v>
      </c>
      <c r="H39" s="20">
        <v>379</v>
      </c>
      <c r="I39" s="21"/>
      <c r="J39" s="21">
        <v>42.525914800000002</v>
      </c>
      <c r="K39" s="19">
        <v>-83.458842200000007</v>
      </c>
      <c r="L39" s="21">
        <f>INDEX('course_coordinates (1)'!$D$2:$D$145,MATCH('Main Data'!N68,'course_coordinates (1)'!$A$2:$A$145,0))</f>
        <v>42.525914800000002</v>
      </c>
      <c r="M39" s="19">
        <f>INDEX('course_coordinates (1)'!$E$2:$E$145,MATCH('Main Data'!N68,'course_coordinates (1)'!$A$2:$A$145,0))</f>
        <v>-83.458842200000007</v>
      </c>
      <c r="N39" s="19" t="s">
        <v>61</v>
      </c>
    </row>
    <row r="40" spans="1:14" x14ac:dyDescent="0.3">
      <c r="A40" s="20">
        <v>18</v>
      </c>
      <c r="B40" s="20" t="s">
        <v>553</v>
      </c>
      <c r="C40" s="20" t="s">
        <v>105</v>
      </c>
      <c r="D40" s="20" t="s">
        <v>64</v>
      </c>
      <c r="E40" s="20" t="s">
        <v>15</v>
      </c>
      <c r="F40" s="38">
        <v>4.4000000000000004</v>
      </c>
      <c r="G40" s="21">
        <f>VLOOKUP(B40, 'Slope Ratings'!$A$2:$C$147, 2, TRUE)</f>
        <v>139</v>
      </c>
      <c r="H40" s="20">
        <v>253</v>
      </c>
      <c r="I40" s="21"/>
      <c r="J40" s="21">
        <v>42.4183758</v>
      </c>
      <c r="K40" s="19">
        <v>-83.604451999999995</v>
      </c>
      <c r="L40" s="21">
        <f>INDEX('course_coordinates (1)'!$D$2:$D$145,MATCH('Main Data'!N21,'course_coordinates (1)'!$A$2:$A$145,0))</f>
        <v>42.4183758</v>
      </c>
      <c r="M40" s="19">
        <f>INDEX('course_coordinates (1)'!$E$2:$E$145,MATCH('Main Data'!N21,'course_coordinates (1)'!$A$2:$A$145,0))</f>
        <v>-83.604451999999995</v>
      </c>
      <c r="N40" s="19" t="s">
        <v>76</v>
      </c>
    </row>
    <row r="41" spans="1:14" x14ac:dyDescent="0.3">
      <c r="A41" s="20">
        <v>117</v>
      </c>
      <c r="B41" s="20" t="s">
        <v>608</v>
      </c>
      <c r="C41" s="20" t="s">
        <v>236</v>
      </c>
      <c r="D41" s="20" t="s">
        <v>213</v>
      </c>
      <c r="E41" s="20" t="s">
        <v>15</v>
      </c>
      <c r="F41" s="38">
        <v>4.3</v>
      </c>
      <c r="G41" s="21">
        <f>VLOOKUP(B41, 'Slope Ratings'!$A$2:$C$147, 2, TRUE)</f>
        <v>139</v>
      </c>
      <c r="H41" s="20">
        <v>405</v>
      </c>
      <c r="I41" s="21" t="s">
        <v>250</v>
      </c>
      <c r="J41" s="21">
        <v>42.462790499999997</v>
      </c>
      <c r="K41" s="19">
        <v>-83.543694799999997</v>
      </c>
      <c r="L41" s="21">
        <f>INDEX('course_coordinates (1)'!$D$2:$D$145,MATCH('Main Data'!N62,'course_coordinates (1)'!$A$2:$A$145,0))</f>
        <v>42.462790499999997</v>
      </c>
      <c r="M41" s="19">
        <f>INDEX('course_coordinates (1)'!$E$2:$E$145,MATCH('Main Data'!N62,'course_coordinates (1)'!$A$2:$A$145,0))</f>
        <v>-83.543694799999997</v>
      </c>
      <c r="N41" s="19" t="s">
        <v>197</v>
      </c>
    </row>
    <row r="42" spans="1:14" x14ac:dyDescent="0.3">
      <c r="A42" s="20">
        <v>4</v>
      </c>
      <c r="B42" s="20" t="s">
        <v>592</v>
      </c>
      <c r="C42" s="20" t="s">
        <v>39</v>
      </c>
      <c r="D42" s="20" t="s">
        <v>19</v>
      </c>
      <c r="E42" s="20" t="s">
        <v>65</v>
      </c>
      <c r="F42" s="38">
        <v>4.7</v>
      </c>
      <c r="G42" s="21">
        <f>VLOOKUP(B42, 'Slope Ratings'!$A$2:$C$147, 2, TRUE)</f>
        <v>139</v>
      </c>
      <c r="H42" s="20">
        <v>132</v>
      </c>
      <c r="I42" s="21"/>
      <c r="J42" s="21">
        <v>42.705366599999998</v>
      </c>
      <c r="K42" s="19">
        <v>-82.747158600000006</v>
      </c>
      <c r="L42" s="21">
        <f>INDEX('course_coordinates (1)'!$D$2:$D$145,MATCH('Main Data'!N12,'course_coordinates (1)'!$A$2:$A$145,0))</f>
        <v>42.705366599999998</v>
      </c>
      <c r="M42" s="19">
        <f>INDEX('course_coordinates (1)'!$E$2:$E$145,MATCH('Main Data'!N12,'course_coordinates (1)'!$A$2:$A$145,0))</f>
        <v>-82.747158600000006</v>
      </c>
      <c r="N42" s="19" t="s">
        <v>24</v>
      </c>
    </row>
    <row r="43" spans="1:14" x14ac:dyDescent="0.3">
      <c r="A43" s="20">
        <v>65</v>
      </c>
      <c r="B43" s="20" t="s">
        <v>627</v>
      </c>
      <c r="C43" s="20" t="s">
        <v>77</v>
      </c>
      <c r="D43" s="20" t="s">
        <v>64</v>
      </c>
      <c r="E43" s="20" t="s">
        <v>65</v>
      </c>
      <c r="F43" s="38">
        <v>4.5999999999999996</v>
      </c>
      <c r="G43" s="21">
        <f>VLOOKUP(B43, 'Slope Ratings'!$A$2:$C$147, 2, TRUE)</f>
        <v>139</v>
      </c>
      <c r="H43" s="20">
        <v>197</v>
      </c>
      <c r="I43" s="21"/>
      <c r="J43" s="21">
        <v>42.497571499999999</v>
      </c>
      <c r="K43" s="19">
        <v>-83.612395699999993</v>
      </c>
      <c r="L43" s="21">
        <f>INDEX('course_coordinates (1)'!$D$2:$D$145,MATCH('Main Data'!N17,'course_coordinates (1)'!$A$2:$A$145,0))</f>
        <v>42.497571499999999</v>
      </c>
      <c r="M43" s="19">
        <f>INDEX('course_coordinates (1)'!$E$2:$E$145,MATCH('Main Data'!N17,'course_coordinates (1)'!$A$2:$A$145,0))</f>
        <v>-83.612395699999993</v>
      </c>
      <c r="N43" s="19" t="s">
        <v>263</v>
      </c>
    </row>
    <row r="44" spans="1:14" x14ac:dyDescent="0.3">
      <c r="A44" s="20">
        <v>55</v>
      </c>
      <c r="B44" s="20" t="s">
        <v>593</v>
      </c>
      <c r="C44" s="20" t="s">
        <v>23</v>
      </c>
      <c r="D44" s="20" t="s">
        <v>19</v>
      </c>
      <c r="E44" s="20" t="s">
        <v>15</v>
      </c>
      <c r="F44" s="38">
        <v>4.4000000000000004</v>
      </c>
      <c r="G44" s="21">
        <f>VLOOKUP(B44, 'Slope Ratings'!$A$2:$C$147, 2, TRUE)</f>
        <v>139</v>
      </c>
      <c r="H44" s="20">
        <v>647</v>
      </c>
      <c r="I44" s="21" t="s">
        <v>25</v>
      </c>
      <c r="J44" s="21">
        <v>42.437733999999999</v>
      </c>
      <c r="K44" s="19">
        <v>-83.446752000000004</v>
      </c>
      <c r="L44" s="21">
        <f>INDEX('course_coordinates (1)'!$D$2:$D$145,MATCH('Main Data'!N70,'course_coordinates (1)'!$A$2:$A$145,0))</f>
        <v>42.437733999999999</v>
      </c>
      <c r="M44" s="19">
        <f>INDEX('course_coordinates (1)'!$E$2:$E$145,MATCH('Main Data'!N70,'course_coordinates (1)'!$A$2:$A$145,0))</f>
        <v>-83.446752000000004</v>
      </c>
      <c r="N44" s="19" t="s">
        <v>220</v>
      </c>
    </row>
    <row r="45" spans="1:14" x14ac:dyDescent="0.3">
      <c r="A45" s="20">
        <v>32</v>
      </c>
      <c r="B45" s="20" t="s">
        <v>556</v>
      </c>
      <c r="C45" s="20" t="s">
        <v>227</v>
      </c>
      <c r="D45" s="20" t="s">
        <v>213</v>
      </c>
      <c r="E45" s="20" t="s">
        <v>15</v>
      </c>
      <c r="F45" s="38">
        <v>4.5999999999999996</v>
      </c>
      <c r="G45" s="21">
        <f>VLOOKUP(B45, 'Slope Ratings'!$A$2:$C$147, 2, TRUE)</f>
        <v>143</v>
      </c>
      <c r="H45" s="20">
        <v>182</v>
      </c>
      <c r="I45" s="21"/>
      <c r="J45" s="21">
        <v>42.225657699999999</v>
      </c>
      <c r="K45" s="19">
        <v>-83.6118685</v>
      </c>
      <c r="L45" s="21">
        <f>INDEX('course_coordinates (1)'!$D$2:$D$145,MATCH('Main Data'!N22,'course_coordinates (1)'!$A$2:$A$145,0))</f>
        <v>42.225657699999999</v>
      </c>
      <c r="M45" s="19">
        <f>INDEX('course_coordinates (1)'!$E$2:$E$145,MATCH('Main Data'!N22,'course_coordinates (1)'!$A$2:$A$145,0))</f>
        <v>-83.6118685</v>
      </c>
      <c r="N45" s="19" t="s">
        <v>123</v>
      </c>
    </row>
    <row r="46" spans="1:14" x14ac:dyDescent="0.3">
      <c r="A46" s="20">
        <v>19</v>
      </c>
      <c r="B46" s="20" t="s">
        <v>667</v>
      </c>
      <c r="C46" s="20" t="s">
        <v>212</v>
      </c>
      <c r="D46" s="20" t="s">
        <v>213</v>
      </c>
      <c r="E46" s="20" t="s">
        <v>65</v>
      </c>
      <c r="F46" s="38">
        <v>4.5</v>
      </c>
      <c r="G46" s="21">
        <f>VLOOKUP(B46, 'Slope Ratings'!$A$2:$C$147, 2, TRUE)</f>
        <v>143</v>
      </c>
      <c r="H46" s="20">
        <v>43</v>
      </c>
      <c r="I46" s="21"/>
      <c r="J46" s="21">
        <v>42.514366600000002</v>
      </c>
      <c r="K46" s="19">
        <v>-83.352645600000002</v>
      </c>
      <c r="L46" s="21">
        <f>INDEX('course_coordinates (1)'!$D$2:$D$145,MATCH('Main Data'!N37,'course_coordinates (1)'!$A$2:$A$145,0))</f>
        <v>42.514366600000002</v>
      </c>
      <c r="M46" s="19">
        <f>INDEX('course_coordinates (1)'!$E$2:$E$145,MATCH('Main Data'!N37,'course_coordinates (1)'!$A$2:$A$145,0))</f>
        <v>-83.352645600000002</v>
      </c>
      <c r="N46" s="19" t="s">
        <v>78</v>
      </c>
    </row>
    <row r="47" spans="1:14" x14ac:dyDescent="0.3">
      <c r="A47" s="20">
        <v>46</v>
      </c>
      <c r="B47" s="20" t="s">
        <v>702</v>
      </c>
      <c r="C47" s="20" t="s">
        <v>77</v>
      </c>
      <c r="D47" s="20" t="s">
        <v>64</v>
      </c>
      <c r="E47" s="20" t="s">
        <v>15</v>
      </c>
      <c r="F47" s="41">
        <v>4</v>
      </c>
      <c r="G47" s="21">
        <f>VLOOKUP(B47, 'Slope Ratings'!$A$2:$C$147, 2, TRUE)</f>
        <v>143</v>
      </c>
      <c r="H47" s="20">
        <v>125</v>
      </c>
      <c r="I47" s="21"/>
      <c r="J47" s="21">
        <v>42.7295534</v>
      </c>
      <c r="K47" s="19">
        <v>-83.464304999999996</v>
      </c>
      <c r="L47" s="21">
        <f>INDEX('course_coordinates (1)'!$D$2:$D$145,MATCH('Main Data'!N100,'course_coordinates (1)'!$A$2:$A$145,0))</f>
        <v>42.7295534</v>
      </c>
      <c r="M47" s="19">
        <f>INDEX('course_coordinates (1)'!$E$2:$E$145,MATCH('Main Data'!N100,'course_coordinates (1)'!$A$2:$A$145,0))</f>
        <v>-83.464304999999996</v>
      </c>
      <c r="N47" s="19" t="s">
        <v>145</v>
      </c>
    </row>
    <row r="48" spans="1:14" x14ac:dyDescent="0.3">
      <c r="A48" s="20">
        <v>130</v>
      </c>
      <c r="B48" s="20" t="s">
        <v>645</v>
      </c>
      <c r="C48" s="20" t="s">
        <v>124</v>
      </c>
      <c r="D48" s="20" t="s">
        <v>64</v>
      </c>
      <c r="E48" s="20" t="s">
        <v>15</v>
      </c>
      <c r="F48" s="38">
        <v>2.8</v>
      </c>
      <c r="G48" s="21">
        <f>VLOOKUP(B48, 'Slope Ratings'!$A$2:$C$147, 2, TRUE)</f>
        <v>143</v>
      </c>
      <c r="H48" s="20">
        <v>169</v>
      </c>
      <c r="I48" s="21"/>
      <c r="J48" s="21">
        <v>42.1388137</v>
      </c>
      <c r="K48" s="19">
        <v>-83.365624100000005</v>
      </c>
      <c r="L48" s="21">
        <f>INDEX('course_coordinates (1)'!$D$2:$D$145,MATCH('Main Data'!N125,'course_coordinates (1)'!$A$2:$A$145,0))</f>
        <v>42.1388137</v>
      </c>
      <c r="M48" s="19">
        <f>INDEX('course_coordinates (1)'!$E$2:$E$145,MATCH('Main Data'!N125,'course_coordinates (1)'!$A$2:$A$145,0))</f>
        <v>-83.365624100000005</v>
      </c>
      <c r="N48" s="19" t="s">
        <v>55</v>
      </c>
    </row>
    <row r="49" spans="1:14" x14ac:dyDescent="0.3">
      <c r="A49" s="20">
        <v>33</v>
      </c>
      <c r="B49" s="20" t="s">
        <v>621</v>
      </c>
      <c r="C49" s="20" t="s">
        <v>46</v>
      </c>
      <c r="D49" s="20" t="s">
        <v>19</v>
      </c>
      <c r="E49" s="20" t="s">
        <v>15</v>
      </c>
      <c r="F49" s="38">
        <v>4.5</v>
      </c>
      <c r="G49" s="21">
        <f>VLOOKUP(B49, 'Slope Ratings'!$A$2:$C$147, 2, TRUE)</f>
        <v>143</v>
      </c>
      <c r="H49" s="20">
        <v>329</v>
      </c>
      <c r="I49" s="21"/>
      <c r="J49" s="21">
        <v>42.294133899999999</v>
      </c>
      <c r="K49" s="19">
        <v>-83.331895599999996</v>
      </c>
      <c r="L49" s="21">
        <f>INDEX('course_coordinates (1)'!$D$2:$D$145,MATCH('Main Data'!N54,'course_coordinates (1)'!$A$2:$A$145,0))</f>
        <v>42.294133899999999</v>
      </c>
      <c r="M49" s="19">
        <f>INDEX('course_coordinates (1)'!$E$2:$E$145,MATCH('Main Data'!N54,'course_coordinates (1)'!$A$2:$A$145,0))</f>
        <v>-83.331895599999996</v>
      </c>
      <c r="N49" s="19" t="s">
        <v>125</v>
      </c>
    </row>
    <row r="50" spans="1:14" x14ac:dyDescent="0.3">
      <c r="A50" s="20">
        <v>90</v>
      </c>
      <c r="B50" s="20" t="s">
        <v>628</v>
      </c>
      <c r="C50" s="20" t="s">
        <v>67</v>
      </c>
      <c r="D50" s="20" t="s">
        <v>64</v>
      </c>
      <c r="E50" s="20" t="s">
        <v>65</v>
      </c>
      <c r="F50" s="38">
        <v>4.5999999999999996</v>
      </c>
      <c r="G50" s="21">
        <f>VLOOKUP(B50, 'Slope Ratings'!$A$2:$C$147, 2, TRUE)</f>
        <v>143</v>
      </c>
      <c r="H50" s="20">
        <v>281</v>
      </c>
      <c r="I50" s="21"/>
      <c r="J50" s="21">
        <v>42.688152500000001</v>
      </c>
      <c r="K50" s="19">
        <v>-83.256309700000003</v>
      </c>
      <c r="L50" s="21">
        <f>INDEX('course_coordinates (1)'!$D$2:$D$145,MATCH('Main Data'!N28,'course_coordinates (1)'!$A$2:$A$145,0))</f>
        <v>42.688152500000001</v>
      </c>
      <c r="M50" s="19">
        <f>INDEX('course_coordinates (1)'!$E$2:$E$145,MATCH('Main Data'!N28,'course_coordinates (1)'!$A$2:$A$145,0))</f>
        <v>-83.256309700000003</v>
      </c>
      <c r="N50" s="19" t="s">
        <v>270</v>
      </c>
    </row>
    <row r="51" spans="1:14" x14ac:dyDescent="0.3">
      <c r="A51" s="20">
        <v>111</v>
      </c>
      <c r="B51" s="20" t="s">
        <v>656</v>
      </c>
      <c r="C51" s="20" t="s">
        <v>129</v>
      </c>
      <c r="D51" s="20" t="s">
        <v>64</v>
      </c>
      <c r="E51" s="20" t="s">
        <v>15</v>
      </c>
      <c r="F51" s="41">
        <v>4</v>
      </c>
      <c r="G51" s="21">
        <f>VLOOKUP(B51, 'Slope Ratings'!$A$2:$C$147, 2, TRUE)</f>
        <v>143</v>
      </c>
      <c r="H51" s="20">
        <v>126</v>
      </c>
      <c r="I51" s="21"/>
      <c r="J51" s="21">
        <v>42.664302800000002</v>
      </c>
      <c r="K51" s="19">
        <v>-83.203569700000003</v>
      </c>
      <c r="L51" s="21">
        <f>INDEX('course_coordinates (1)'!$D$2:$D$145,MATCH('Main Data'!N55,'course_coordinates (1)'!$A$2:$A$145,0))</f>
        <v>42.664302800000002</v>
      </c>
      <c r="M51" s="19">
        <f>INDEX('course_coordinates (1)'!$E$2:$E$145,MATCH('Main Data'!N55,'course_coordinates (1)'!$A$2:$A$145,0))</f>
        <v>-83.203569700000003</v>
      </c>
      <c r="N51" s="19" t="s">
        <v>251</v>
      </c>
    </row>
    <row r="52" spans="1:14" x14ac:dyDescent="0.3">
      <c r="A52" s="20">
        <v>99</v>
      </c>
      <c r="B52" s="20" t="s">
        <v>622</v>
      </c>
      <c r="C52" s="20" t="s">
        <v>19</v>
      </c>
      <c r="D52" s="20" t="s">
        <v>19</v>
      </c>
      <c r="E52" s="20" t="s">
        <v>15</v>
      </c>
      <c r="F52" s="38">
        <v>4.0999999999999996</v>
      </c>
      <c r="G52" s="21">
        <f>VLOOKUP(B52, 'Slope Ratings'!$A$2:$C$147, 2, TRUE)</f>
        <v>143</v>
      </c>
      <c r="H52" s="20">
        <v>378</v>
      </c>
      <c r="I52" s="21"/>
      <c r="J52" s="21">
        <v>42.340946600000002</v>
      </c>
      <c r="K52" s="19">
        <v>-83.296723</v>
      </c>
      <c r="L52" s="21">
        <f>INDEX('course_coordinates (1)'!$D$2:$D$145,MATCH('Main Data'!N119,'course_coordinates (1)'!$A$2:$A$145,0))</f>
        <v>42.340946600000002</v>
      </c>
      <c r="M52" s="19">
        <f>INDEX('course_coordinates (1)'!$E$2:$E$145,MATCH('Main Data'!N119,'course_coordinates (1)'!$A$2:$A$145,0))</f>
        <v>-83.296723</v>
      </c>
      <c r="N52" s="19" t="s">
        <v>127</v>
      </c>
    </row>
    <row r="53" spans="1:14" x14ac:dyDescent="0.3">
      <c r="A53" s="20">
        <v>34</v>
      </c>
      <c r="B53" s="20" t="s">
        <v>646</v>
      </c>
      <c r="C53" s="20" t="s">
        <v>126</v>
      </c>
      <c r="D53" s="20" t="s">
        <v>64</v>
      </c>
      <c r="E53" s="20" t="s">
        <v>15</v>
      </c>
      <c r="F53" s="38">
        <v>3.5</v>
      </c>
      <c r="G53" s="21">
        <f>VLOOKUP(B53, 'Slope Ratings'!$A$2:$C$147, 2, TRUE)</f>
        <v>143</v>
      </c>
      <c r="H53" s="20">
        <v>213</v>
      </c>
      <c r="I53" s="21"/>
      <c r="J53" s="21">
        <v>42.286168600000003</v>
      </c>
      <c r="K53" s="19">
        <v>-83.438719500000005</v>
      </c>
      <c r="L53" s="21">
        <f>INDEX('course_coordinates (1)'!$D$2:$D$145,MATCH('Main Data'!N26,'course_coordinates (1)'!$A$2:$A$145,0))</f>
        <v>42.286168600000003</v>
      </c>
      <c r="M53" s="19">
        <f>INDEX('course_coordinates (1)'!$E$2:$E$145,MATCH('Main Data'!N26,'course_coordinates (1)'!$A$2:$A$145,0))</f>
        <v>-83.438719500000005</v>
      </c>
      <c r="N53" s="19" t="s">
        <v>79</v>
      </c>
    </row>
    <row r="54" spans="1:14" x14ac:dyDescent="0.3">
      <c r="A54" s="20">
        <v>20</v>
      </c>
      <c r="B54" s="20" t="s">
        <v>705</v>
      </c>
      <c r="C54" s="20" t="s">
        <v>268</v>
      </c>
      <c r="D54" s="20" t="s">
        <v>266</v>
      </c>
      <c r="E54" s="20" t="s">
        <v>15</v>
      </c>
      <c r="F54" s="38">
        <v>3.7</v>
      </c>
      <c r="G54" s="21">
        <f>VLOOKUP(B54, 'Slope Ratings'!$A$2:$C$147, 2, TRUE)</f>
        <v>143</v>
      </c>
      <c r="H54" s="20">
        <v>312</v>
      </c>
      <c r="I54" s="21">
        <v>1926</v>
      </c>
      <c r="J54" s="21">
        <v>42.4550792</v>
      </c>
      <c r="K54" s="19">
        <v>-83.578207500000005</v>
      </c>
      <c r="L54" s="21">
        <f>INDEX('course_coordinates (1)'!$D$2:$D$145,MATCH('Main Data'!N109,'course_coordinates (1)'!$A$2:$A$145,0))</f>
        <v>42.4550792</v>
      </c>
      <c r="M54" s="19">
        <f>INDEX('course_coordinates (1)'!$E$2:$E$145,MATCH('Main Data'!N109,'course_coordinates (1)'!$A$2:$A$145,0))</f>
        <v>-83.578207500000005</v>
      </c>
      <c r="N54" s="19" t="s">
        <v>587</v>
      </c>
    </row>
    <row r="55" spans="1:14" x14ac:dyDescent="0.3">
      <c r="A55" s="20">
        <v>71</v>
      </c>
      <c r="B55" s="20" t="s">
        <v>677</v>
      </c>
      <c r="C55" s="20" t="s">
        <v>246</v>
      </c>
      <c r="D55" s="20" t="s">
        <v>213</v>
      </c>
      <c r="E55" s="20" t="s">
        <v>15</v>
      </c>
      <c r="F55" s="38">
        <v>3.8</v>
      </c>
      <c r="G55" s="21">
        <f>VLOOKUP(B55, 'Slope Ratings'!$A$2:$C$147, 2, TRUE)</f>
        <v>143</v>
      </c>
      <c r="H55" s="20">
        <v>405</v>
      </c>
      <c r="I55" s="21"/>
      <c r="J55" s="21">
        <v>42.589330799999999</v>
      </c>
      <c r="K55" s="19">
        <v>-83.240407099999999</v>
      </c>
      <c r="L55" s="21">
        <f>INDEX('course_coordinates (1)'!$D$2:$D$145,MATCH('Main Data'!N106,'course_coordinates (1)'!$A$2:$A$145,0))</f>
        <v>42.589330799999999</v>
      </c>
      <c r="M55" s="19">
        <f>INDEX('course_coordinates (1)'!$E$2:$E$145,MATCH('Main Data'!N106,'course_coordinates (1)'!$A$2:$A$145,0))</f>
        <v>-83.240407099999999</v>
      </c>
      <c r="N55" s="19" t="s">
        <v>578</v>
      </c>
    </row>
    <row r="56" spans="1:14" x14ac:dyDescent="0.3">
      <c r="A56" s="20">
        <v>81</v>
      </c>
      <c r="B56" s="20" t="s">
        <v>647</v>
      </c>
      <c r="C56" s="20" t="s">
        <v>115</v>
      </c>
      <c r="D56" s="20" t="s">
        <v>64</v>
      </c>
      <c r="E56" s="20" t="s">
        <v>15</v>
      </c>
      <c r="F56" s="38">
        <v>4.2</v>
      </c>
      <c r="G56" s="21">
        <f>VLOOKUP(B56, 'Slope Ratings'!$A$2:$C$147, 2, TRUE)</f>
        <v>143</v>
      </c>
      <c r="H56" s="20">
        <v>266</v>
      </c>
      <c r="I56" s="21"/>
      <c r="J56" s="21">
        <v>42.230115900000001</v>
      </c>
      <c r="K56" s="19">
        <v>-83.783346600000002</v>
      </c>
      <c r="L56" s="21">
        <f>INDEX('course_coordinates (1)'!$D$2:$D$145,MATCH('Main Data'!N58,'course_coordinates (1)'!$A$2:$A$145,0))</f>
        <v>42.230115900000001</v>
      </c>
      <c r="M56" s="19">
        <f>INDEX('course_coordinates (1)'!$E$2:$E$145,MATCH('Main Data'!N58,'course_coordinates (1)'!$A$2:$A$145,0))</f>
        <v>-83.783346600000002</v>
      </c>
      <c r="N56" s="19" t="s">
        <v>81</v>
      </c>
    </row>
    <row r="57" spans="1:14" x14ac:dyDescent="0.3">
      <c r="A57" s="20">
        <v>125</v>
      </c>
      <c r="B57" s="20" t="s">
        <v>698</v>
      </c>
      <c r="C57" s="20" t="s">
        <v>80</v>
      </c>
      <c r="D57" s="20" t="s">
        <v>64</v>
      </c>
      <c r="E57" s="20" t="s">
        <v>65</v>
      </c>
      <c r="F57" s="38">
        <v>4.5999999999999996</v>
      </c>
      <c r="G57" s="21">
        <f>VLOOKUP(B57, 'Slope Ratings'!$A$2:$C$147, 2, TRUE)</f>
        <v>143</v>
      </c>
      <c r="H57" s="20">
        <v>321</v>
      </c>
      <c r="I57" s="21"/>
      <c r="J57" s="21">
        <v>42.719551000000003</v>
      </c>
      <c r="K57" s="19">
        <v>-83.390629000000004</v>
      </c>
      <c r="L57" s="21">
        <f>INDEX('course_coordinates (1)'!$D$2:$D$145,MATCH('Main Data'!N30,'course_coordinates (1)'!$A$2:$A$145,0))</f>
        <v>42.719551000000003</v>
      </c>
      <c r="M57" s="19">
        <f>INDEX('course_coordinates (1)'!$E$2:$E$145,MATCH('Main Data'!N30,'course_coordinates (1)'!$A$2:$A$145,0))</f>
        <v>-83.390629000000004</v>
      </c>
      <c r="N57" s="19" t="s">
        <v>230</v>
      </c>
    </row>
    <row r="58" spans="1:14" x14ac:dyDescent="0.3">
      <c r="A58" s="20">
        <v>59</v>
      </c>
      <c r="B58" s="20" t="s">
        <v>682</v>
      </c>
      <c r="C58" s="20" t="s">
        <v>548</v>
      </c>
      <c r="D58" s="20" t="s">
        <v>213</v>
      </c>
      <c r="E58" s="20" t="s">
        <v>15</v>
      </c>
      <c r="F58" s="38">
        <v>3.7</v>
      </c>
      <c r="G58" s="21">
        <f>VLOOKUP(B58, 'Slope Ratings'!$A$2:$C$147, 2, TRUE)</f>
        <v>143</v>
      </c>
      <c r="H58" s="28"/>
      <c r="I58" s="29"/>
      <c r="J58" s="21">
        <v>42.191813400000001</v>
      </c>
      <c r="K58" s="19">
        <v>-83.794189500000002</v>
      </c>
      <c r="L58" s="21">
        <f>INDEX('course_coordinates (1)'!$D$2:$D$145,MATCH('Main Data'!N10,'course_coordinates (1)'!$A$2:$A$145,0))</f>
        <v>42.191813400000001</v>
      </c>
      <c r="M58" s="19">
        <f>INDEX('course_coordinates (1)'!$E$2:$E$145,MATCH('Main Data'!N10,'course_coordinates (1)'!$A$2:$A$145,0))</f>
        <v>-83.794189500000002</v>
      </c>
      <c r="N58" s="19" t="s">
        <v>201</v>
      </c>
    </row>
    <row r="59" spans="1:14" x14ac:dyDescent="0.3">
      <c r="A59" s="20">
        <v>116</v>
      </c>
      <c r="B59" s="20" t="s">
        <v>601</v>
      </c>
      <c r="C59" s="20" t="s">
        <v>77</v>
      </c>
      <c r="D59" s="28" t="s">
        <v>64</v>
      </c>
      <c r="E59" s="28" t="s">
        <v>65</v>
      </c>
      <c r="F59" s="39">
        <v>4.7</v>
      </c>
      <c r="G59" s="21">
        <f>VLOOKUP(B59, 'Slope Ratings'!$A$2:$C$147, 2, TRUE)</f>
        <v>143</v>
      </c>
      <c r="H59" s="28">
        <v>79</v>
      </c>
      <c r="I59" s="29"/>
      <c r="J59" s="21">
        <v>42.404839600000003</v>
      </c>
      <c r="K59" s="19">
        <v>-83.591614100000001</v>
      </c>
      <c r="L59" s="21">
        <f>INDEX('course_coordinates (1)'!$D$2:$D$145,MATCH('Main Data'!N96,'course_coordinates (1)'!$A$2:$A$145,0))</f>
        <v>42.404839600000003</v>
      </c>
      <c r="M59" s="19">
        <f>INDEX('course_coordinates (1)'!$E$2:$E$145,MATCH('Main Data'!N96,'course_coordinates (1)'!$A$2:$A$145,0))</f>
        <v>-83.591614100000001</v>
      </c>
      <c r="N59" s="19" t="s">
        <v>253</v>
      </c>
    </row>
    <row r="60" spans="1:14" x14ac:dyDescent="0.3">
      <c r="A60" s="20">
        <v>107</v>
      </c>
      <c r="B60" s="20" t="s">
        <v>598</v>
      </c>
      <c r="C60" s="20" t="s">
        <v>82</v>
      </c>
      <c r="D60" s="20" t="s">
        <v>64</v>
      </c>
      <c r="E60" s="20" t="s">
        <v>65</v>
      </c>
      <c r="F60" s="38">
        <v>4.7</v>
      </c>
      <c r="G60" s="21">
        <f>VLOOKUP(B60, 'Slope Ratings'!$A$2:$C$147, 2, TRUE)</f>
        <v>143</v>
      </c>
      <c r="H60" s="20">
        <v>90</v>
      </c>
      <c r="I60" s="21"/>
      <c r="J60" s="21">
        <v>42.778806899999999</v>
      </c>
      <c r="K60" s="19">
        <v>-83.517701599999995</v>
      </c>
      <c r="L60" s="21">
        <f>INDEX('course_coordinates (1)'!$D$2:$D$145,MATCH('Main Data'!N45,'course_coordinates (1)'!$A$2:$A$145,0))</f>
        <v>42.778806899999999</v>
      </c>
      <c r="M60" s="19">
        <f>INDEX('course_coordinates (1)'!$E$2:$E$145,MATCH('Main Data'!N45,'course_coordinates (1)'!$A$2:$A$145,0))</f>
        <v>-83.517701599999995</v>
      </c>
      <c r="N60" s="19" t="s">
        <v>203</v>
      </c>
    </row>
    <row r="61" spans="1:14" x14ac:dyDescent="0.3">
      <c r="A61" s="20">
        <v>112</v>
      </c>
      <c r="B61" s="20" t="s">
        <v>670</v>
      </c>
      <c r="C61" s="20" t="s">
        <v>231</v>
      </c>
      <c r="D61" s="20" t="s">
        <v>213</v>
      </c>
      <c r="E61" s="20" t="s">
        <v>15</v>
      </c>
      <c r="F61" s="38">
        <v>4.3</v>
      </c>
      <c r="G61" s="21">
        <f>VLOOKUP(B61, 'Slope Ratings'!$A$2:$C$147, 2, TRUE)</f>
        <v>143</v>
      </c>
      <c r="H61" s="20">
        <v>250</v>
      </c>
      <c r="I61" s="21"/>
      <c r="J61" s="21">
        <v>42.393538399999997</v>
      </c>
      <c r="K61" s="19">
        <v>-83.299947099999997</v>
      </c>
      <c r="L61" s="21">
        <f>INDEX('course_coordinates (1)'!$D$2:$D$145,MATCH('Main Data'!N122,'course_coordinates (1)'!$A$2:$A$145,0))</f>
        <v>42.393538399999997</v>
      </c>
      <c r="M61" s="19">
        <f>INDEX('course_coordinates (1)'!$E$2:$E$145,MATCH('Main Data'!N122,'course_coordinates (1)'!$A$2:$A$145,0))</f>
        <v>-83.299947099999997</v>
      </c>
      <c r="N61" s="19" t="s">
        <v>159</v>
      </c>
    </row>
    <row r="62" spans="1:14" x14ac:dyDescent="0.3">
      <c r="A62" s="20">
        <v>109</v>
      </c>
      <c r="B62" s="20" t="s">
        <v>699</v>
      </c>
      <c r="C62" s="20" t="s">
        <v>254</v>
      </c>
      <c r="D62" s="20" t="s">
        <v>213</v>
      </c>
      <c r="E62" s="20" t="s">
        <v>15</v>
      </c>
      <c r="F62" s="38">
        <v>4.3</v>
      </c>
      <c r="G62" s="21">
        <f>VLOOKUP(B62, 'Slope Ratings'!$A$2:$C$147, 2, TRUE)</f>
        <v>143</v>
      </c>
      <c r="H62" s="20">
        <v>531</v>
      </c>
      <c r="I62" s="21"/>
      <c r="J62" s="21">
        <v>42.397714399999998</v>
      </c>
      <c r="K62" s="19">
        <v>-83.396897999999993</v>
      </c>
      <c r="L62" s="21">
        <f>INDEX('course_coordinates (1)'!$D$2:$D$145,MATCH('Main Data'!N51,'course_coordinates (1)'!$A$2:$A$145,0))</f>
        <v>42.397714399999998</v>
      </c>
      <c r="M62" s="19">
        <f>INDEX('course_coordinates (1)'!$E$2:$E$145,MATCH('Main Data'!N51,'course_coordinates (1)'!$A$2:$A$145,0))</f>
        <v>-83.396897999999993</v>
      </c>
      <c r="N62" s="19" t="s">
        <v>161</v>
      </c>
    </row>
    <row r="63" spans="1:14" x14ac:dyDescent="0.3">
      <c r="A63" s="20">
        <v>89</v>
      </c>
      <c r="B63" s="20" t="s">
        <v>660</v>
      </c>
      <c r="C63" s="20" t="s">
        <v>63</v>
      </c>
      <c r="D63" s="20" t="s">
        <v>64</v>
      </c>
      <c r="E63" s="20" t="s">
        <v>15</v>
      </c>
      <c r="F63" s="38">
        <v>4.4000000000000004</v>
      </c>
      <c r="G63" s="21">
        <f>VLOOKUP(B63, 'Slope Ratings'!$A$2:$C$147, 2, TRUE)</f>
        <v>143</v>
      </c>
      <c r="H63" s="20">
        <v>155</v>
      </c>
      <c r="I63" s="21"/>
      <c r="J63" s="21">
        <v>42.256616899999997</v>
      </c>
      <c r="K63" s="19">
        <v>-83.283656399999998</v>
      </c>
      <c r="L63" s="21">
        <f>INDEX('course_coordinates (1)'!$D$2:$D$145,MATCH('Main Data'!N110,'course_coordinates (1)'!$A$2:$A$145,0))</f>
        <v>42.256616899999997</v>
      </c>
      <c r="M63" s="19">
        <f>INDEX('course_coordinates (1)'!$E$2:$E$145,MATCH('Main Data'!N110,'course_coordinates (1)'!$A$2:$A$145,0))</f>
        <v>-83.283656399999998</v>
      </c>
      <c r="N63" s="19" t="s">
        <v>148</v>
      </c>
    </row>
    <row r="64" spans="1:14" x14ac:dyDescent="0.3">
      <c r="A64" s="20">
        <v>48</v>
      </c>
      <c r="B64" s="20" t="s">
        <v>161</v>
      </c>
      <c r="C64" s="20" t="s">
        <v>162</v>
      </c>
      <c r="D64" s="20" t="s">
        <v>64</v>
      </c>
      <c r="E64" s="20" t="s">
        <v>15</v>
      </c>
      <c r="F64" s="38">
        <v>4.2</v>
      </c>
      <c r="G64" s="21">
        <f>VLOOKUP(B64, 'Slope Ratings'!$A$2:$C$147, 2, TRUE)</f>
        <v>143</v>
      </c>
      <c r="H64" s="20">
        <v>195</v>
      </c>
      <c r="I64" s="21"/>
      <c r="J64" s="21">
        <v>42.544702100000002</v>
      </c>
      <c r="K64" s="19">
        <v>-83.328326899999993</v>
      </c>
      <c r="L64" s="21">
        <f>INDEX('course_coordinates (1)'!$D$2:$D$145,MATCH('Main Data'!N56,'course_coordinates (1)'!$A$2:$A$145,0))</f>
        <v>42.544702100000002</v>
      </c>
      <c r="M64" s="19">
        <f>INDEX('course_coordinates (1)'!$E$2:$E$145,MATCH('Main Data'!N56,'course_coordinates (1)'!$A$2:$A$145,0))</f>
        <v>-83.328326899999993</v>
      </c>
      <c r="N64" s="19" t="s">
        <v>221</v>
      </c>
    </row>
    <row r="65" spans="1:14" x14ac:dyDescent="0.3">
      <c r="A65" s="20">
        <v>56</v>
      </c>
      <c r="B65" s="20" t="s">
        <v>657</v>
      </c>
      <c r="C65" s="20" t="s">
        <v>111</v>
      </c>
      <c r="D65" s="20" t="s">
        <v>64</v>
      </c>
      <c r="E65" s="20" t="s">
        <v>15</v>
      </c>
      <c r="F65" s="38">
        <v>3.8</v>
      </c>
      <c r="G65" s="21">
        <f>VLOOKUP(B65, 'Slope Ratings'!$A$2:$C$147, 2, TRUE)</f>
        <v>143</v>
      </c>
      <c r="H65" s="20">
        <v>24</v>
      </c>
      <c r="I65" s="21"/>
      <c r="J65" s="21">
        <v>42.391292499999999</v>
      </c>
      <c r="K65" s="19">
        <v>-83.551050799999999</v>
      </c>
      <c r="L65" s="21">
        <f>INDEX('course_coordinates (1)'!$D$2:$D$145,MATCH('Main Data'!N8,'course_coordinates (1)'!$A$2:$A$145,0))</f>
        <v>42.391292499999999</v>
      </c>
      <c r="M65" s="19">
        <f>INDEX('course_coordinates (1)'!$E$2:$E$145,MATCH('Main Data'!N8,'course_coordinates (1)'!$A$2:$A$145,0))</f>
        <v>-83.551050799999999</v>
      </c>
      <c r="N65" s="19" t="s">
        <v>128</v>
      </c>
    </row>
    <row r="66" spans="1:14" x14ac:dyDescent="0.3">
      <c r="A66" s="20">
        <v>35</v>
      </c>
      <c r="B66" s="20" t="s">
        <v>700</v>
      </c>
      <c r="C66" s="20" t="s">
        <v>222</v>
      </c>
      <c r="D66" s="20" t="s">
        <v>213</v>
      </c>
      <c r="E66" s="20" t="s">
        <v>65</v>
      </c>
      <c r="F66" s="38">
        <v>4.5</v>
      </c>
      <c r="G66" s="21">
        <f>VLOOKUP(B66, 'Slope Ratings'!$A$2:$C$147, 2, TRUE)</f>
        <v>143</v>
      </c>
      <c r="H66" s="20">
        <v>145</v>
      </c>
      <c r="I66" s="21"/>
      <c r="J66" s="21">
        <v>42.427212900000001</v>
      </c>
      <c r="K66" s="19">
        <v>-83.398247600000005</v>
      </c>
      <c r="L66" s="21">
        <f>INDEX('course_coordinates (1)'!$D$2:$D$145,MATCH('Main Data'!N31,'course_coordinates (1)'!$A$2:$A$145,0))</f>
        <v>42.427212900000001</v>
      </c>
      <c r="M66" s="19">
        <f>INDEX('course_coordinates (1)'!$E$2:$E$145,MATCH('Main Data'!N31,'course_coordinates (1)'!$A$2:$A$145,0))</f>
        <v>-83.398247600000005</v>
      </c>
      <c r="N66" s="19" t="s">
        <v>240</v>
      </c>
    </row>
    <row r="67" spans="1:14" x14ac:dyDescent="0.3">
      <c r="A67" s="20">
        <v>63</v>
      </c>
      <c r="B67" s="20" t="s">
        <v>648</v>
      </c>
      <c r="C67" s="20" t="s">
        <v>129</v>
      </c>
      <c r="D67" s="20" t="s">
        <v>64</v>
      </c>
      <c r="E67" s="20" t="s">
        <v>15</v>
      </c>
      <c r="F67" s="38">
        <v>4.2</v>
      </c>
      <c r="G67" s="21">
        <f>VLOOKUP(B67, 'Slope Ratings'!$A$2:$C$147, 2, TRUE)</f>
        <v>143</v>
      </c>
      <c r="H67" s="20">
        <v>512</v>
      </c>
      <c r="I67" s="21"/>
      <c r="J67" s="21">
        <v>42.740671200000001</v>
      </c>
      <c r="K67" s="19">
        <v>-83.371979499999995</v>
      </c>
      <c r="L67" s="21">
        <f>INDEX('course_coordinates (1)'!$D$2:$D$145,MATCH('Main Data'!N80,'course_coordinates (1)'!$A$2:$A$145,0))</f>
        <v>42.740671200000001</v>
      </c>
      <c r="M67" s="19">
        <f>INDEX('course_coordinates (1)'!$E$2:$E$145,MATCH('Main Data'!N80,'course_coordinates (1)'!$A$2:$A$145,0))</f>
        <v>-83.371979499999995</v>
      </c>
      <c r="N67" s="19" t="s">
        <v>589</v>
      </c>
    </row>
    <row r="68" spans="1:14" x14ac:dyDescent="0.3">
      <c r="A68" s="20">
        <v>5</v>
      </c>
      <c r="B68" s="20" t="s">
        <v>674</v>
      </c>
      <c r="C68" s="20" t="s">
        <v>241</v>
      </c>
      <c r="D68" s="20" t="s">
        <v>213</v>
      </c>
      <c r="E68" s="20" t="s">
        <v>15</v>
      </c>
      <c r="F68" s="38">
        <v>4.0999999999999996</v>
      </c>
      <c r="G68" s="21">
        <f>VLOOKUP(B68, 'Slope Ratings'!$A$2:$C$147, 2, TRUE)</f>
        <v>143</v>
      </c>
      <c r="H68" s="20">
        <v>160</v>
      </c>
      <c r="I68" s="21"/>
      <c r="J68" s="21">
        <v>42.4791174</v>
      </c>
      <c r="K68" s="19">
        <v>-83.235712599999999</v>
      </c>
      <c r="L68" s="21">
        <f>INDEX('course_coordinates (1)'!$D$2:$D$145,MATCH('Main Data'!N24,'course_coordinates (1)'!$A$2:$A$145,0))</f>
        <v>42.4791174</v>
      </c>
      <c r="M68" s="19">
        <f>INDEX('course_coordinates (1)'!$E$2:$E$145,MATCH('Main Data'!N24,'course_coordinates (1)'!$A$2:$A$145,0))</f>
        <v>-83.235712599999999</v>
      </c>
      <c r="N68" s="19" t="s">
        <v>164</v>
      </c>
    </row>
    <row r="69" spans="1:14" x14ac:dyDescent="0.3">
      <c r="A69" s="20">
        <v>92</v>
      </c>
      <c r="B69" s="20" t="s">
        <v>612</v>
      </c>
      <c r="C69" s="20" t="s">
        <v>26</v>
      </c>
      <c r="D69" s="20" t="s">
        <v>19</v>
      </c>
      <c r="E69" s="20" t="s">
        <v>15</v>
      </c>
      <c r="F69" s="41">
        <v>4</v>
      </c>
      <c r="G69" s="21">
        <f>VLOOKUP(B69, 'Slope Ratings'!$A$2:$C$147, 2, TRUE)</f>
        <v>143</v>
      </c>
      <c r="H69" s="20">
        <v>920</v>
      </c>
      <c r="I69" s="21" t="s">
        <v>27</v>
      </c>
      <c r="J69" s="21">
        <v>42.205247100000001</v>
      </c>
      <c r="K69" s="19">
        <v>-83.624503599999997</v>
      </c>
      <c r="L69" s="21">
        <f>INDEX('course_coordinates (1)'!$D$2:$D$145,MATCH('Main Data'!N83,'course_coordinates (1)'!$A$2:$A$145,0))</f>
        <v>42.205247100000001</v>
      </c>
      <c r="M69" s="19">
        <f>INDEX('course_coordinates (1)'!$E$2:$E$145,MATCH('Main Data'!N83,'course_coordinates (1)'!$A$2:$A$145,0))</f>
        <v>-83.624503599999997</v>
      </c>
      <c r="N69" s="19" t="s">
        <v>591</v>
      </c>
    </row>
    <row r="70" spans="1:14" x14ac:dyDescent="0.3">
      <c r="A70" s="20">
        <v>6</v>
      </c>
      <c r="B70" s="20" t="s">
        <v>661</v>
      </c>
      <c r="C70" s="20" t="s">
        <v>162</v>
      </c>
      <c r="D70" s="20" t="s">
        <v>64</v>
      </c>
      <c r="E70" s="20" t="s">
        <v>15</v>
      </c>
      <c r="F70" s="38">
        <v>4.0999999999999996</v>
      </c>
      <c r="G70" s="21" t="str">
        <f>VLOOKUP(B70, 'Slope Ratings'!$A$2:$C$147, 2, TRUE)</f>
        <v>NA</v>
      </c>
      <c r="H70" s="20">
        <v>205</v>
      </c>
      <c r="I70" s="21"/>
      <c r="J70" s="21">
        <v>42.6475784</v>
      </c>
      <c r="K70" s="19">
        <v>-82.88073</v>
      </c>
      <c r="L70" s="21">
        <f>INDEX('course_coordinates (1)'!$D$2:$D$145,MATCH('Main Data'!N4,'course_coordinates (1)'!$A$2:$A$145,0))</f>
        <v>42.6475784</v>
      </c>
      <c r="M70" s="19">
        <f>INDEX('course_coordinates (1)'!$E$2:$E$145,MATCH('Main Data'!N4,'course_coordinates (1)'!$A$2:$A$145,0))</f>
        <v>-82.88073</v>
      </c>
      <c r="N70" s="19" t="s">
        <v>543</v>
      </c>
    </row>
    <row r="71" spans="1:14" x14ac:dyDescent="0.3">
      <c r="A71" s="20">
        <v>68</v>
      </c>
      <c r="B71" s="20" t="s">
        <v>613</v>
      </c>
      <c r="C71" s="20" t="s">
        <v>28</v>
      </c>
      <c r="D71" s="20" t="s">
        <v>19</v>
      </c>
      <c r="E71" s="20" t="s">
        <v>15</v>
      </c>
      <c r="F71" s="38">
        <v>3.2</v>
      </c>
      <c r="G71" s="21" t="str">
        <f>VLOOKUP(B71, 'Slope Ratings'!$A$2:$C$147, 2, TRUE)</f>
        <v>NA</v>
      </c>
      <c r="H71" s="20">
        <v>437</v>
      </c>
      <c r="I71" s="21"/>
      <c r="J71" s="21">
        <v>42.451143500000001</v>
      </c>
      <c r="K71" s="19">
        <v>-83.262468299999995</v>
      </c>
      <c r="L71" s="21">
        <f>INDEX('course_coordinates (1)'!$D$2:$D$145,MATCH('Main Data'!N85,'course_coordinates (1)'!$A$2:$A$145,0))</f>
        <v>42.451143500000001</v>
      </c>
      <c r="M71" s="19">
        <f>INDEX('course_coordinates (1)'!$E$2:$E$145,MATCH('Main Data'!N85,'course_coordinates (1)'!$A$2:$A$145,0))</f>
        <v>-83.262468299999995</v>
      </c>
      <c r="N71" s="19" t="s">
        <v>130</v>
      </c>
    </row>
    <row r="72" spans="1:14" x14ac:dyDescent="0.3">
      <c r="A72" s="20">
        <v>36</v>
      </c>
      <c r="B72" s="20" t="s">
        <v>701</v>
      </c>
      <c r="C72" s="20" t="s">
        <v>265</v>
      </c>
      <c r="D72" s="20" t="s">
        <v>213</v>
      </c>
      <c r="E72" s="20" t="s">
        <v>65</v>
      </c>
      <c r="F72" s="38">
        <v>4.7</v>
      </c>
      <c r="G72" s="21" t="str">
        <f>VLOOKUP(B72, 'Slope Ratings'!$A$2:$C$147, 2, TRUE)</f>
        <v>NA</v>
      </c>
      <c r="H72" s="20">
        <v>116</v>
      </c>
      <c r="I72" s="29">
        <v>1916</v>
      </c>
      <c r="J72" s="21">
        <v>42.153228800000001</v>
      </c>
      <c r="K72" s="19">
        <v>-83.305986300000001</v>
      </c>
      <c r="L72" s="21">
        <f>INDEX('course_coordinates (1)'!$D$2:$D$145,MATCH('Main Data'!N126,'course_coordinates (1)'!$A$2:$A$145,0))</f>
        <v>42.153228800000001</v>
      </c>
      <c r="M72" s="19">
        <f>INDEX('course_coordinates (1)'!$E$2:$E$145,MATCH('Main Data'!N126,'course_coordinates (1)'!$A$2:$A$145,0))</f>
        <v>-83.305986300000001</v>
      </c>
      <c r="N72" s="19" t="s">
        <v>132</v>
      </c>
    </row>
    <row r="73" spans="1:14" x14ac:dyDescent="0.3">
      <c r="A73" s="20">
        <v>37</v>
      </c>
      <c r="B73" s="20" t="s">
        <v>649</v>
      </c>
      <c r="C73" s="20" t="s">
        <v>131</v>
      </c>
      <c r="D73" s="20" t="s">
        <v>64</v>
      </c>
      <c r="E73" s="20" t="s">
        <v>15</v>
      </c>
      <c r="F73" s="38">
        <v>4.2</v>
      </c>
      <c r="G73" s="21" t="str">
        <f>VLOOKUP(B73, 'Slope Ratings'!$A$2:$C$147, 2, TRUE)</f>
        <v>NA</v>
      </c>
      <c r="H73" s="20">
        <v>464</v>
      </c>
      <c r="I73" s="21"/>
      <c r="J73" s="21">
        <v>42.796393399999999</v>
      </c>
      <c r="K73" s="19">
        <v>-82.986442999999994</v>
      </c>
      <c r="L73" s="21">
        <f>INDEX('course_coordinates (1)'!$D$2:$D$145,MATCH('Main Data'!N93,'course_coordinates (1)'!$A$2:$A$145,0))</f>
        <v>42.796393399999999</v>
      </c>
      <c r="M73" s="19">
        <f>INDEX('course_coordinates (1)'!$E$2:$E$145,MATCH('Main Data'!N93,'course_coordinates (1)'!$A$2:$A$145,0))</f>
        <v>-82.986442999999994</v>
      </c>
      <c r="N73" s="19" t="s">
        <v>272</v>
      </c>
    </row>
    <row r="74" spans="1:14" x14ac:dyDescent="0.3">
      <c r="A74" s="20">
        <v>88</v>
      </c>
      <c r="B74" s="20" t="s">
        <v>711</v>
      </c>
      <c r="C74" s="20" t="s">
        <v>111</v>
      </c>
      <c r="D74" s="20" t="s">
        <v>64</v>
      </c>
      <c r="E74" s="20" t="s">
        <v>15</v>
      </c>
      <c r="F74" s="38">
        <v>3.3</v>
      </c>
      <c r="G74" s="21" t="str">
        <f>VLOOKUP(B74, 'Slope Ratings'!$A$2:$C$147, 2, TRUE)</f>
        <v>NA</v>
      </c>
      <c r="H74" s="20">
        <v>313</v>
      </c>
      <c r="I74" s="21"/>
      <c r="J74" s="21">
        <v>42.755653299999999</v>
      </c>
      <c r="K74" s="19">
        <v>-83.036557200000004</v>
      </c>
      <c r="L74" s="21">
        <f>INDEX('course_coordinates (1)'!$D$2:$D$145,MATCH('Main Data'!N131,'course_coordinates (1)'!$A$2:$A$145,0))</f>
        <v>42.755653299999999</v>
      </c>
      <c r="M74" s="19">
        <f>INDEX('course_coordinates (1)'!$E$2:$E$145,MATCH('Main Data'!N131,'course_coordinates (1)'!$A$2:$A$145,0))</f>
        <v>-83.036557200000004</v>
      </c>
      <c r="N74" s="19" t="s">
        <v>178</v>
      </c>
    </row>
    <row r="75" spans="1:14" x14ac:dyDescent="0.3">
      <c r="A75" s="20">
        <v>49</v>
      </c>
      <c r="B75" s="20" t="s">
        <v>689</v>
      </c>
      <c r="C75" s="20" t="s">
        <v>265</v>
      </c>
      <c r="D75" s="20" t="s">
        <v>266</v>
      </c>
      <c r="E75" s="20" t="s">
        <v>15</v>
      </c>
      <c r="F75" s="38">
        <v>4.4000000000000004</v>
      </c>
      <c r="G75" s="21" t="str">
        <f>VLOOKUP(B75, 'Slope Ratings'!$A$2:$C$147, 2, TRUE)</f>
        <v>NA</v>
      </c>
      <c r="H75" s="20">
        <v>490</v>
      </c>
      <c r="I75" s="21" t="s">
        <v>274</v>
      </c>
      <c r="J75" s="21">
        <v>42.660101900000001</v>
      </c>
      <c r="K75" s="19">
        <v>-82.8781587</v>
      </c>
      <c r="L75" s="21">
        <f>INDEX('course_coordinates (1)'!$D$2:$D$145,MATCH('Main Data'!N48,'course_coordinates (1)'!$A$2:$A$145,0))</f>
        <v>42.660101900000001</v>
      </c>
      <c r="M75" s="19">
        <f>INDEX('course_coordinates (1)'!$E$2:$E$145,MATCH('Main Data'!N48,'course_coordinates (1)'!$A$2:$A$145,0))</f>
        <v>-82.8781587</v>
      </c>
      <c r="N75" s="19" t="s">
        <v>84</v>
      </c>
    </row>
    <row r="76" spans="1:14" x14ac:dyDescent="0.3">
      <c r="A76" s="20">
        <v>126</v>
      </c>
      <c r="B76" s="20" t="s">
        <v>599</v>
      </c>
      <c r="C76" s="20" t="s">
        <v>122</v>
      </c>
      <c r="D76" s="20" t="s">
        <v>64</v>
      </c>
      <c r="E76" s="20" t="s">
        <v>65</v>
      </c>
      <c r="F76" s="38">
        <v>4.5</v>
      </c>
      <c r="G76" s="21" t="str">
        <f>VLOOKUP(B76, 'Slope Ratings'!$A$2:$C$147, 2, TRUE)</f>
        <v>NA</v>
      </c>
      <c r="H76" s="20">
        <v>111</v>
      </c>
      <c r="I76" s="21"/>
      <c r="J76" s="21">
        <v>42.203827199999999</v>
      </c>
      <c r="K76" s="19">
        <v>-83.210818700000004</v>
      </c>
      <c r="L76" s="21">
        <f>INDEX('course_coordinates (1)'!$D$2:$D$145,MATCH('Main Data'!N102,'course_coordinates (1)'!$A$2:$A$145,0))</f>
        <v>42.203827199999999</v>
      </c>
      <c r="M76" s="19">
        <f>INDEX('course_coordinates (1)'!$E$2:$E$145,MATCH('Main Data'!N102,'course_coordinates (1)'!$A$2:$A$145,0))</f>
        <v>-83.210818700000004</v>
      </c>
      <c r="N76" s="19" t="s">
        <v>87</v>
      </c>
    </row>
    <row r="77" spans="1:14" x14ac:dyDescent="0.3">
      <c r="A77" s="20">
        <v>127</v>
      </c>
      <c r="B77" s="20" t="s">
        <v>629</v>
      </c>
      <c r="C77" s="20" t="s">
        <v>67</v>
      </c>
      <c r="D77" s="20" t="s">
        <v>64</v>
      </c>
      <c r="E77" s="20" t="s">
        <v>65</v>
      </c>
      <c r="F77" s="38">
        <v>4.8</v>
      </c>
      <c r="G77" s="21" t="str">
        <f>VLOOKUP(B77, 'Slope Ratings'!$A$2:$C$147, 2, TRUE)</f>
        <v>NA</v>
      </c>
      <c r="H77" s="20">
        <v>274</v>
      </c>
      <c r="I77" s="21" t="s">
        <v>86</v>
      </c>
      <c r="J77" s="21">
        <v>42.680746200000002</v>
      </c>
      <c r="K77" s="19">
        <v>-83.585255599999996</v>
      </c>
      <c r="L77" s="21">
        <f>INDEX('course_coordinates (1)'!$D$2:$D$145,MATCH('Main Data'!N49,'course_coordinates (1)'!$A$2:$A$145,0))</f>
        <v>42.680746200000002</v>
      </c>
      <c r="M77" s="19">
        <f>INDEX('course_coordinates (1)'!$E$2:$E$145,MATCH('Main Data'!N49,'course_coordinates (1)'!$A$2:$A$145,0))</f>
        <v>-83.585255599999996</v>
      </c>
      <c r="N77" s="19" t="s">
        <v>133</v>
      </c>
    </row>
    <row r="78" spans="1:14" x14ac:dyDescent="0.3">
      <c r="A78" s="20">
        <v>38</v>
      </c>
      <c r="B78" s="20" t="s">
        <v>630</v>
      </c>
      <c r="C78" s="20" t="s">
        <v>82</v>
      </c>
      <c r="D78" s="20" t="s">
        <v>64</v>
      </c>
      <c r="E78" s="20" t="s">
        <v>65</v>
      </c>
      <c r="F78" s="38">
        <v>4.7</v>
      </c>
      <c r="G78" s="21" t="str">
        <f>VLOOKUP(B78, 'Slope Ratings'!$A$2:$C$147, 2, TRUE)</f>
        <v>NA</v>
      </c>
      <c r="H78" s="20">
        <v>193</v>
      </c>
      <c r="I78" s="21"/>
      <c r="J78" s="21">
        <v>42.788350299999998</v>
      </c>
      <c r="K78" s="19">
        <v>-83.267534999999995</v>
      </c>
      <c r="L78" s="21">
        <f>INDEX('course_coordinates (1)'!$D$2:$D$145,MATCH('Main Data'!N53,'course_coordinates (1)'!$A$2:$A$145,0))</f>
        <v>42.788350299999998</v>
      </c>
      <c r="M78" s="19">
        <f>INDEX('course_coordinates (1)'!$E$2:$E$145,MATCH('Main Data'!N53,'course_coordinates (1)'!$A$2:$A$145,0))</f>
        <v>-83.267534999999995</v>
      </c>
      <c r="N78" s="19" t="s">
        <v>179</v>
      </c>
    </row>
    <row r="79" spans="1:14" x14ac:dyDescent="0.3">
      <c r="A79" s="20">
        <v>50</v>
      </c>
      <c r="B79" s="20" t="s">
        <v>650</v>
      </c>
      <c r="C79" s="20" t="s">
        <v>113</v>
      </c>
      <c r="D79" s="20" t="s">
        <v>64</v>
      </c>
      <c r="E79" s="20" t="s">
        <v>15</v>
      </c>
      <c r="F79" s="41">
        <v>4</v>
      </c>
      <c r="G79" s="21" t="str">
        <f>VLOOKUP(B79, 'Slope Ratings'!$A$2:$C$147, 2, TRUE)</f>
        <v>NA</v>
      </c>
      <c r="H79" s="20">
        <v>213</v>
      </c>
      <c r="I79" s="21"/>
      <c r="J79" s="21">
        <v>42.537973299999997</v>
      </c>
      <c r="K79" s="19">
        <v>-83.007484899999994</v>
      </c>
      <c r="L79" s="21">
        <f>INDEX('course_coordinates (1)'!$D$2:$D$145,MATCH('Main Data'!N67,'course_coordinates (1)'!$A$2:$A$145,0))</f>
        <v>42.537973299999997</v>
      </c>
      <c r="M79" s="19">
        <f>INDEX('course_coordinates (1)'!$E$2:$E$145,MATCH('Main Data'!N67,'course_coordinates (1)'!$A$2:$A$145,0))</f>
        <v>-83.007484899999994</v>
      </c>
      <c r="N79" s="19" t="s">
        <v>232</v>
      </c>
    </row>
    <row r="80" spans="1:14" x14ac:dyDescent="0.3">
      <c r="A80" s="20">
        <v>60</v>
      </c>
      <c r="B80" s="20" t="s">
        <v>637</v>
      </c>
      <c r="C80" s="20" t="s">
        <v>80</v>
      </c>
      <c r="D80" s="20" t="s">
        <v>64</v>
      </c>
      <c r="E80" s="20" t="s">
        <v>65</v>
      </c>
      <c r="F80" s="38">
        <v>4.4000000000000004</v>
      </c>
      <c r="G80" s="21" t="str">
        <f>VLOOKUP(B80, 'Slope Ratings'!$A$2:$C$147, 2, TRUE)</f>
        <v>NA</v>
      </c>
      <c r="H80" s="20">
        <v>279</v>
      </c>
      <c r="I80" s="21"/>
      <c r="J80" s="21">
        <v>42.717413899999997</v>
      </c>
      <c r="K80" s="19">
        <v>-83.108169599999997</v>
      </c>
      <c r="L80" s="21">
        <f>INDEX('course_coordinates (1)'!$D$2:$D$145,MATCH('Main Data'!N105,'course_coordinates (1)'!$A$2:$A$145,0))</f>
        <v>42.717413899999997</v>
      </c>
      <c r="M80" s="19">
        <f>INDEX('course_coordinates (1)'!$E$2:$E$145,MATCH('Main Data'!N105,'course_coordinates (1)'!$A$2:$A$145,0))</f>
        <v>-83.108169599999997</v>
      </c>
      <c r="N80" s="19" t="s">
        <v>134</v>
      </c>
    </row>
    <row r="81" spans="1:14" x14ac:dyDescent="0.3">
      <c r="A81" s="20">
        <v>39</v>
      </c>
      <c r="B81" s="20" t="s">
        <v>671</v>
      </c>
      <c r="C81" s="20" t="s">
        <v>229</v>
      </c>
      <c r="D81" s="20" t="s">
        <v>213</v>
      </c>
      <c r="E81" s="20" t="s">
        <v>15</v>
      </c>
      <c r="F81" s="38">
        <v>4.3</v>
      </c>
      <c r="G81" s="21" t="str">
        <f>VLOOKUP(B81, 'Slope Ratings'!$A$2:$C$147, 2, TRUE)</f>
        <v>NA</v>
      </c>
      <c r="H81" s="20">
        <v>280</v>
      </c>
      <c r="I81" s="21"/>
      <c r="J81" s="21">
        <v>42.579820900000001</v>
      </c>
      <c r="K81" s="19">
        <v>-83.316154100000006</v>
      </c>
      <c r="L81" s="21">
        <f>INDEX('course_coordinates (1)'!$D$2:$D$145,MATCH('Main Data'!N116,'course_coordinates (1)'!$A$2:$A$145,0))</f>
        <v>42.579820900000001</v>
      </c>
      <c r="M81" s="19">
        <f>INDEX('course_coordinates (1)'!$E$2:$E$145,MATCH('Main Data'!N116,'course_coordinates (1)'!$A$2:$A$145,0))</f>
        <v>-83.316154100000006</v>
      </c>
      <c r="N81" s="19" t="s">
        <v>89</v>
      </c>
    </row>
    <row r="82" spans="1:14" x14ac:dyDescent="0.3">
      <c r="A82" s="20">
        <v>128</v>
      </c>
      <c r="B82" s="20" t="s">
        <v>651</v>
      </c>
      <c r="C82" s="20" t="s">
        <v>122</v>
      </c>
      <c r="D82" s="20" t="s">
        <v>64</v>
      </c>
      <c r="E82" s="20" t="s">
        <v>15</v>
      </c>
      <c r="F82" s="38">
        <v>4.4000000000000004</v>
      </c>
      <c r="G82" s="21" t="str">
        <f>VLOOKUP(B82, 'Slope Ratings'!$A$2:$C$147, 2, TRUE)</f>
        <v>NA</v>
      </c>
      <c r="H82" s="20">
        <v>566</v>
      </c>
      <c r="I82" s="21"/>
      <c r="J82" s="21">
        <v>42.565549900000001</v>
      </c>
      <c r="K82" s="19">
        <v>-83.215877599999999</v>
      </c>
      <c r="L82" s="21">
        <f>INDEX('course_coordinates (1)'!$D$2:$D$145,MATCH('Main Data'!N103,'course_coordinates (1)'!$A$2:$A$145,0))</f>
        <v>42.565549900000001</v>
      </c>
      <c r="M82" s="19">
        <f>INDEX('course_coordinates (1)'!$E$2:$E$145,MATCH('Main Data'!N103,'course_coordinates (1)'!$A$2:$A$145,0))</f>
        <v>-83.215877599999999</v>
      </c>
      <c r="N82" s="19" t="s">
        <v>29</v>
      </c>
    </row>
    <row r="83" spans="1:14" x14ac:dyDescent="0.3">
      <c r="A83" s="20">
        <v>7</v>
      </c>
      <c r="B83" s="20" t="s">
        <v>631</v>
      </c>
      <c r="C83" s="20" t="s">
        <v>82</v>
      </c>
      <c r="D83" s="20" t="s">
        <v>64</v>
      </c>
      <c r="E83" s="20" t="s">
        <v>65</v>
      </c>
      <c r="F83" s="38">
        <v>4.8</v>
      </c>
      <c r="G83" s="21" t="str">
        <f>VLOOKUP(B83, 'Slope Ratings'!$A$2:$C$147, 2, TRUE)</f>
        <v>NA</v>
      </c>
      <c r="H83" s="20">
        <v>257</v>
      </c>
      <c r="I83" s="21"/>
      <c r="J83" s="21">
        <v>42.306533600000002</v>
      </c>
      <c r="K83" s="19">
        <v>-83.350247300000007</v>
      </c>
      <c r="L83" s="21">
        <f>INDEX('course_coordinates (1)'!$D$2:$D$145,MATCH('Main Data'!N66,'course_coordinates (1)'!$A$2:$A$145,0))</f>
        <v>42.306533600000002</v>
      </c>
      <c r="M83" s="19">
        <f>INDEX('course_coordinates (1)'!$E$2:$E$145,MATCH('Main Data'!N66,'course_coordinates (1)'!$A$2:$A$145,0))</f>
        <v>-83.350247300000007</v>
      </c>
      <c r="N83" s="19" t="s">
        <v>205</v>
      </c>
    </row>
    <row r="84" spans="1:14" x14ac:dyDescent="0.3">
      <c r="A84" s="20">
        <v>118</v>
      </c>
      <c r="B84" s="20" t="s">
        <v>662</v>
      </c>
      <c r="C84" s="20" t="s">
        <v>77</v>
      </c>
      <c r="D84" s="20" t="s">
        <v>64</v>
      </c>
      <c r="E84" s="20" t="s">
        <v>15</v>
      </c>
      <c r="F84" s="38">
        <v>3.4</v>
      </c>
      <c r="G84" s="21" t="str">
        <f>VLOOKUP(B84, 'Slope Ratings'!$A$2:$C$147, 2, TRUE)</f>
        <v>NA</v>
      </c>
      <c r="H84" s="20">
        <v>228</v>
      </c>
      <c r="I84" s="21"/>
      <c r="J84" s="21">
        <v>42.601828099999999</v>
      </c>
      <c r="K84" s="19">
        <v>-82.809727199999998</v>
      </c>
      <c r="L84" s="21">
        <f>INDEX('course_coordinates (1)'!$D$2:$D$145,MATCH('Main Data'!N98,'course_coordinates (1)'!$A$2:$A$145,0))</f>
        <v>42.601828099999999</v>
      </c>
      <c r="M84" s="19">
        <f>INDEX('course_coordinates (1)'!$E$2:$E$145,MATCH('Main Data'!N98,'course_coordinates (1)'!$A$2:$A$145,0))</f>
        <v>-82.809727199999998</v>
      </c>
      <c r="N84" s="19" t="s">
        <v>31</v>
      </c>
    </row>
    <row r="85" spans="1:14" x14ac:dyDescent="0.3">
      <c r="A85" s="20">
        <v>8</v>
      </c>
      <c r="B85" s="20" t="s">
        <v>614</v>
      </c>
      <c r="C85" s="20" t="s">
        <v>30</v>
      </c>
      <c r="D85" s="20" t="s">
        <v>19</v>
      </c>
      <c r="E85" s="20" t="s">
        <v>15</v>
      </c>
      <c r="F85" s="38">
        <v>3.9</v>
      </c>
      <c r="G85" s="21">
        <f>VLOOKUP(B85, 'Slope Ratings'!$A$2:$C$147, 2, TRUE)</f>
        <v>0</v>
      </c>
      <c r="H85" s="20">
        <v>315</v>
      </c>
      <c r="I85" s="21" t="s">
        <v>16</v>
      </c>
      <c r="J85" s="21">
        <v>42.509386599999999</v>
      </c>
      <c r="K85" s="19">
        <v>-83.105301600000004</v>
      </c>
      <c r="L85" s="21">
        <f>INDEX('course_coordinates (1)'!$D$2:$D$145,MATCH('Main Data'!N90,'course_coordinates (1)'!$A$2:$A$145,0))</f>
        <v>42.509386599999999</v>
      </c>
      <c r="M85" s="19">
        <f>INDEX('course_coordinates (1)'!$E$2:$E$145,MATCH('Main Data'!N90,'course_coordinates (1)'!$A$2:$A$145,0))</f>
        <v>-83.105301600000004</v>
      </c>
      <c r="N85" s="19" t="s">
        <v>91</v>
      </c>
    </row>
    <row r="86" spans="1:14" x14ac:dyDescent="0.3">
      <c r="A86" s="20">
        <v>102</v>
      </c>
      <c r="B86" s="20" t="s">
        <v>615</v>
      </c>
      <c r="C86" s="20" t="s">
        <v>26</v>
      </c>
      <c r="D86" s="20" t="s">
        <v>19</v>
      </c>
      <c r="E86" s="20" t="s">
        <v>15</v>
      </c>
      <c r="F86" s="38">
        <v>3.7</v>
      </c>
      <c r="G86" s="21">
        <f>VLOOKUP(B86, 'Slope Ratings'!$A$2:$C$147, 2, TRUE)</f>
        <v>0</v>
      </c>
      <c r="H86" s="20">
        <v>373</v>
      </c>
      <c r="I86" s="21"/>
      <c r="J86" s="21">
        <v>42.656244999999998</v>
      </c>
      <c r="K86" s="19">
        <v>-82.878148999999993</v>
      </c>
      <c r="L86" s="21">
        <f>INDEX('course_coordinates (1)'!$D$2:$D$145,MATCH('Main Data'!N107,'course_coordinates (1)'!$A$2:$A$145,0))</f>
        <v>42.656244999999998</v>
      </c>
      <c r="M86" s="19">
        <f>INDEX('course_coordinates (1)'!$E$2:$E$145,MATCH('Main Data'!N107,'course_coordinates (1)'!$A$2:$A$145,0))</f>
        <v>-82.878148999999993</v>
      </c>
      <c r="N86" s="19" t="s">
        <v>135</v>
      </c>
    </row>
    <row r="87" spans="1:14" x14ac:dyDescent="0.3">
      <c r="A87" s="20">
        <v>40</v>
      </c>
      <c r="B87" s="20" t="s">
        <v>632</v>
      </c>
      <c r="C87" s="20" t="s">
        <v>92</v>
      </c>
      <c r="D87" s="20" t="s">
        <v>64</v>
      </c>
      <c r="E87" s="20" t="s">
        <v>65</v>
      </c>
      <c r="F87" s="38">
        <v>4.5</v>
      </c>
      <c r="G87" s="21">
        <f>VLOOKUP(B87, 'Slope Ratings'!$A$2:$C$147, 2, TRUE)</f>
        <v>0</v>
      </c>
      <c r="H87" s="20">
        <v>242</v>
      </c>
      <c r="I87" s="21"/>
      <c r="J87" s="21">
        <v>42.7707932</v>
      </c>
      <c r="K87" s="19">
        <v>-83.157997199999997</v>
      </c>
      <c r="L87" s="21">
        <f>INDEX('course_coordinates (1)'!$D$2:$D$145,MATCH('Main Data'!N72,'course_coordinates (1)'!$A$2:$A$145,0))</f>
        <v>42.7707932</v>
      </c>
      <c r="M87" s="19">
        <f>INDEX('course_coordinates (1)'!$E$2:$E$145,MATCH('Main Data'!N72,'course_coordinates (1)'!$A$2:$A$145,0))</f>
        <v>-83.157997199999997</v>
      </c>
      <c r="N87" s="19" t="s">
        <v>180</v>
      </c>
    </row>
    <row r="88" spans="1:14" x14ac:dyDescent="0.3">
      <c r="A88" s="20">
        <v>51</v>
      </c>
      <c r="B88" s="20" t="s">
        <v>710</v>
      </c>
      <c r="C88" s="20" t="s">
        <v>136</v>
      </c>
      <c r="D88" s="20" t="s">
        <v>64</v>
      </c>
      <c r="E88" s="20" t="s">
        <v>15</v>
      </c>
      <c r="F88" s="38">
        <v>4.2</v>
      </c>
      <c r="G88" s="21">
        <f>VLOOKUP(B88, 'Slope Ratings'!$A$2:$C$147, 2, TRUE)</f>
        <v>0</v>
      </c>
      <c r="H88" s="20">
        <v>349</v>
      </c>
      <c r="I88" s="21" t="s">
        <v>137</v>
      </c>
      <c r="J88" s="21">
        <v>42.125564799999999</v>
      </c>
      <c r="K88" s="19">
        <v>-83.161568099999997</v>
      </c>
      <c r="L88" s="21">
        <f>INDEX('course_coordinates (1)'!$D$2:$D$145,MATCH('Main Data'!N43,'course_coordinates (1)'!$A$2:$A$145,0))</f>
        <v>42.125564799999999</v>
      </c>
      <c r="M88" s="19">
        <f>INDEX('course_coordinates (1)'!$E$2:$E$145,MATCH('Main Data'!N43,'course_coordinates (1)'!$A$2:$A$145,0))</f>
        <v>-83.161568099999997</v>
      </c>
      <c r="N88" s="19" t="s">
        <v>168</v>
      </c>
    </row>
    <row r="89" spans="1:14" x14ac:dyDescent="0.3">
      <c r="A89" s="20">
        <v>106</v>
      </c>
      <c r="B89" s="20" t="s">
        <v>638</v>
      </c>
      <c r="C89" s="20" t="s">
        <v>181</v>
      </c>
      <c r="D89" s="20" t="s">
        <v>64</v>
      </c>
      <c r="E89" s="20" t="s">
        <v>65</v>
      </c>
      <c r="F89" s="38">
        <v>4.7</v>
      </c>
      <c r="G89" s="21">
        <f>VLOOKUP(B89, 'Slope Ratings'!$A$2:$C$147, 2, TRUE)</f>
        <v>0</v>
      </c>
      <c r="H89" s="20">
        <v>108</v>
      </c>
      <c r="I89" s="21"/>
      <c r="J89" s="21">
        <v>42.306407900000004</v>
      </c>
      <c r="K89" s="19">
        <v>-83.200866399999995</v>
      </c>
      <c r="L89" s="21">
        <f>INDEX('course_coordinates (1)'!$D$2:$D$145,MATCH('Main Data'!N114,'course_coordinates (1)'!$A$2:$A$145,0))</f>
        <v>42.306407900000004</v>
      </c>
      <c r="M89" s="19">
        <f>INDEX('course_coordinates (1)'!$E$2:$E$145,MATCH('Main Data'!N114,'course_coordinates (1)'!$A$2:$A$145,0))</f>
        <v>-83.200866399999995</v>
      </c>
      <c r="N89" s="19" t="s">
        <v>32</v>
      </c>
    </row>
    <row r="90" spans="1:14" x14ac:dyDescent="0.3">
      <c r="A90" s="20">
        <v>9</v>
      </c>
      <c r="B90" s="20" t="s">
        <v>703</v>
      </c>
      <c r="C90" s="20" t="s">
        <v>169</v>
      </c>
      <c r="D90" s="20" t="s">
        <v>64</v>
      </c>
      <c r="E90" s="20" t="s">
        <v>15</v>
      </c>
      <c r="F90" s="38">
        <v>3.7</v>
      </c>
      <c r="G90" s="21">
        <f>VLOOKUP(B90, 'Slope Ratings'!$A$2:$C$147, 2, TRUE)</f>
        <v>0</v>
      </c>
      <c r="H90" s="20">
        <v>328</v>
      </c>
      <c r="I90" s="21"/>
      <c r="J90" s="21">
        <v>42.3935362</v>
      </c>
      <c r="K90" s="19">
        <v>-83.478617400000005</v>
      </c>
      <c r="L90" s="21">
        <f>INDEX('course_coordinates (1)'!$D$2:$D$145,MATCH('Main Data'!N111,'course_coordinates (1)'!$A$2:$A$145,0))</f>
        <v>42.3935362</v>
      </c>
      <c r="M90" s="19">
        <f>INDEX('course_coordinates (1)'!$E$2:$E$145,MATCH('Main Data'!N111,'course_coordinates (1)'!$A$2:$A$145,0))</f>
        <v>-83.478617400000005</v>
      </c>
      <c r="N90" s="19" t="s">
        <v>560</v>
      </c>
    </row>
    <row r="91" spans="1:14" x14ac:dyDescent="0.3">
      <c r="A91" s="20">
        <v>86</v>
      </c>
      <c r="B91" s="20" t="s">
        <v>594</v>
      </c>
      <c r="C91" s="20" t="s">
        <v>26</v>
      </c>
      <c r="D91" s="20" t="s">
        <v>19</v>
      </c>
      <c r="E91" s="20" t="s">
        <v>15</v>
      </c>
      <c r="F91" s="41">
        <v>4</v>
      </c>
      <c r="G91" s="21">
        <f>VLOOKUP(B91, 'Slope Ratings'!$A$2:$C$147, 2, TRUE)</f>
        <v>0</v>
      </c>
      <c r="H91" s="20">
        <v>385</v>
      </c>
      <c r="I91" s="21"/>
      <c r="J91" s="21">
        <v>42.14011</v>
      </c>
      <c r="K91" s="19">
        <v>-83.168873000000005</v>
      </c>
      <c r="L91" s="21">
        <f>INDEX('course_coordinates (1)'!$D$2:$D$145,MATCH('Main Data'!N121,'course_coordinates (1)'!$A$2:$A$145,0))</f>
        <v>42.14011</v>
      </c>
      <c r="M91" s="19">
        <f>INDEX('course_coordinates (1)'!$E$2:$E$145,MATCH('Main Data'!N121,'course_coordinates (1)'!$A$2:$A$145,0))</f>
        <v>-83.168873000000005</v>
      </c>
      <c r="N91" s="19" t="s">
        <v>94</v>
      </c>
    </row>
    <row r="92" spans="1:14" x14ac:dyDescent="0.3">
      <c r="A92" s="20">
        <v>120</v>
      </c>
      <c r="B92" s="20" t="s">
        <v>665</v>
      </c>
      <c r="C92" s="28" t="s">
        <v>561</v>
      </c>
      <c r="D92" s="28" t="s">
        <v>64</v>
      </c>
      <c r="E92" s="28" t="s">
        <v>15</v>
      </c>
      <c r="F92" s="42">
        <v>4.3</v>
      </c>
      <c r="G92" s="21">
        <f>VLOOKUP(B92, 'Slope Ratings'!$A$2:$C$147, 2, TRUE)</f>
        <v>0</v>
      </c>
      <c r="H92" s="28"/>
      <c r="I92" s="29"/>
      <c r="J92" s="21">
        <v>42.770657100000001</v>
      </c>
      <c r="K92" s="19">
        <v>-83.158056000000002</v>
      </c>
      <c r="L92" s="21">
        <f>INDEX('course_coordinates (1)'!$D$2:$D$145,MATCH('Main Data'!N63,'course_coordinates (1)'!$A$2:$A$145,0))</f>
        <v>42.770657100000001</v>
      </c>
      <c r="M92" s="19">
        <f>INDEX('course_coordinates (1)'!$E$2:$E$145,MATCH('Main Data'!N63,'course_coordinates (1)'!$A$2:$A$145,0))</f>
        <v>-83.158056000000002</v>
      </c>
      <c r="N92" s="19" t="s">
        <v>233</v>
      </c>
    </row>
    <row r="93" spans="1:14" x14ac:dyDescent="0.3">
      <c r="A93" s="20">
        <v>61</v>
      </c>
      <c r="B93" s="20" t="s">
        <v>633</v>
      </c>
      <c r="C93" s="20" t="s">
        <v>95</v>
      </c>
      <c r="D93" s="20" t="s">
        <v>64</v>
      </c>
      <c r="E93" s="20" t="s">
        <v>65</v>
      </c>
      <c r="F93" s="43">
        <v>4.5999999999999996</v>
      </c>
      <c r="G93" s="21">
        <f>VLOOKUP(B93, 'Slope Ratings'!$A$2:$C$147, 2, TRUE)</f>
        <v>0</v>
      </c>
      <c r="H93" s="20">
        <v>266</v>
      </c>
      <c r="I93" s="21"/>
      <c r="J93" s="21">
        <v>42.400437400000001</v>
      </c>
      <c r="K93" s="19">
        <v>-83.495900599999999</v>
      </c>
      <c r="L93" s="21">
        <f>INDEX('course_coordinates (1)'!$D$2:$D$145,MATCH('Main Data'!N73,'course_coordinates (1)'!$A$2:$A$145,0))</f>
        <v>42.400437400000001</v>
      </c>
      <c r="M93" s="19">
        <f>INDEX('course_coordinates (1)'!$E$2:$E$145,MATCH('Main Data'!N73,'course_coordinates (1)'!$A$2:$A$145,0))</f>
        <v>-83.495900599999999</v>
      </c>
      <c r="N93" s="19" t="s">
        <v>559</v>
      </c>
    </row>
    <row r="94" spans="1:14" x14ac:dyDescent="0.3">
      <c r="A94" s="20">
        <v>85</v>
      </c>
      <c r="B94" s="20" t="s">
        <v>672</v>
      </c>
      <c r="C94" s="20" t="s">
        <v>234</v>
      </c>
      <c r="D94" s="20" t="s">
        <v>213</v>
      </c>
      <c r="E94" s="20" t="s">
        <v>15</v>
      </c>
      <c r="F94" s="43">
        <v>4</v>
      </c>
      <c r="G94" s="21">
        <f>VLOOKUP(B94, 'Slope Ratings'!$A$2:$C$147, 2, TRUE)</f>
        <v>0</v>
      </c>
      <c r="H94" s="20">
        <v>477</v>
      </c>
      <c r="I94" s="21"/>
      <c r="J94" s="21">
        <v>42.637783400000004</v>
      </c>
      <c r="K94" s="19">
        <v>-83.371831700000001</v>
      </c>
      <c r="L94" s="21">
        <f>INDEX('course_coordinates (1)'!$D$2:$D$145,MATCH('Main Data'!N86,'course_coordinates (1)'!$A$2:$A$145,0))</f>
        <v>42.637783400000004</v>
      </c>
      <c r="M94" s="19">
        <f>INDEX('course_coordinates (1)'!$E$2:$E$145,MATCH('Main Data'!N86,'course_coordinates (1)'!$A$2:$A$145,0))</f>
        <v>-83.371831700000001</v>
      </c>
      <c r="N94" s="19" t="s">
        <v>256</v>
      </c>
    </row>
    <row r="95" spans="1:14" x14ac:dyDescent="0.3">
      <c r="A95" s="20">
        <v>103</v>
      </c>
      <c r="B95" s="20" t="s">
        <v>678</v>
      </c>
      <c r="C95" s="20" t="s">
        <v>217</v>
      </c>
      <c r="D95" s="20" t="s">
        <v>213</v>
      </c>
      <c r="E95" s="20" t="s">
        <v>15</v>
      </c>
      <c r="F95" s="43">
        <v>4.2</v>
      </c>
      <c r="G95" s="21">
        <f>VLOOKUP(B95, 'Slope Ratings'!$A$2:$C$147, 2, TRUE)</f>
        <v>0</v>
      </c>
      <c r="H95" s="20">
        <v>380</v>
      </c>
      <c r="I95" s="21"/>
      <c r="J95" s="21">
        <v>42.531310499999996</v>
      </c>
      <c r="K95" s="19">
        <v>-83.2476032</v>
      </c>
      <c r="L95" s="21">
        <f>INDEX('course_coordinates (1)'!$D$2:$D$145,MATCH('Main Data'!N61,'course_coordinates (1)'!$A$2:$A$145,0))</f>
        <v>42.531310499999996</v>
      </c>
      <c r="M95" s="19">
        <f>INDEX('course_coordinates (1)'!$E$2:$E$145,MATCH('Main Data'!N61,'course_coordinates (1)'!$A$2:$A$145,0))</f>
        <v>-83.2476032</v>
      </c>
      <c r="N95" s="19" t="s">
        <v>146</v>
      </c>
    </row>
    <row r="96" spans="1:14" x14ac:dyDescent="0.3">
      <c r="A96" s="20">
        <v>47</v>
      </c>
      <c r="B96" s="20" t="s">
        <v>95</v>
      </c>
      <c r="C96" s="20" t="s">
        <v>95</v>
      </c>
      <c r="D96" s="20" t="s">
        <v>64</v>
      </c>
      <c r="E96" s="20" t="s">
        <v>15</v>
      </c>
      <c r="F96" s="43">
        <v>3.5</v>
      </c>
      <c r="G96" s="21">
        <f>VLOOKUP(B96, 'Slope Ratings'!$A$2:$C$147, 2, TRUE)</f>
        <v>0</v>
      </c>
      <c r="H96" s="20">
        <v>189</v>
      </c>
      <c r="I96" s="21"/>
      <c r="J96" s="21">
        <v>42.618541399999998</v>
      </c>
      <c r="K96" s="19">
        <v>-83.302098200000003</v>
      </c>
      <c r="L96" s="21">
        <f>INDEX('course_coordinates (1)'!$D$2:$D$145,MATCH('Main Data'!N112,'course_coordinates (1)'!$A$2:$A$145,0))</f>
        <v>42.618541399999998</v>
      </c>
      <c r="M96" s="19">
        <f>INDEX('course_coordinates (1)'!$E$2:$E$145,MATCH('Main Data'!N112,'course_coordinates (1)'!$A$2:$A$145,0))</f>
        <v>-83.302098200000003</v>
      </c>
      <c r="N96" s="19" t="s">
        <v>584</v>
      </c>
    </row>
    <row r="97" spans="1:14" x14ac:dyDescent="0.3">
      <c r="A97" s="20">
        <v>76</v>
      </c>
      <c r="B97" s="20" t="s">
        <v>685</v>
      </c>
      <c r="C97" s="20" t="s">
        <v>265</v>
      </c>
      <c r="D97" s="20" t="s">
        <v>213</v>
      </c>
      <c r="E97" s="20" t="s">
        <v>15</v>
      </c>
      <c r="F97" s="43">
        <v>4.2</v>
      </c>
      <c r="G97" s="21">
        <f>VLOOKUP(B97, 'Slope Ratings'!$A$2:$C$147, 2, TRUE)</f>
        <v>0</v>
      </c>
      <c r="H97" s="28">
        <v>346</v>
      </c>
      <c r="I97" s="29"/>
      <c r="J97" s="21">
        <v>42.5145433</v>
      </c>
      <c r="K97" s="19">
        <v>-83.353785400000007</v>
      </c>
      <c r="L97" s="21">
        <f>INDEX('course_coordinates (1)'!$D$2:$D$145,MATCH('Main Data'!N36,'course_coordinates (1)'!$A$2:$A$145,0))</f>
        <v>42.5145433</v>
      </c>
      <c r="M97" s="19">
        <f>INDEX('course_coordinates (1)'!$E$2:$E$145,MATCH('Main Data'!N36,'course_coordinates (1)'!$A$2:$A$145,0))</f>
        <v>-83.353785400000007</v>
      </c>
      <c r="N97" s="19" t="s">
        <v>564</v>
      </c>
    </row>
    <row r="98" spans="1:14" x14ac:dyDescent="0.3">
      <c r="A98" s="20">
        <v>83</v>
      </c>
      <c r="B98" s="20" t="s">
        <v>663</v>
      </c>
      <c r="C98" s="20" t="s">
        <v>172</v>
      </c>
      <c r="D98" s="20" t="s">
        <v>64</v>
      </c>
      <c r="E98" s="20" t="s">
        <v>15</v>
      </c>
      <c r="F98" s="43">
        <v>3.9</v>
      </c>
      <c r="G98" s="21">
        <f>VLOOKUP(B98, 'Slope Ratings'!$A$2:$C$147, 2, TRUE)</f>
        <v>0</v>
      </c>
      <c r="H98" s="20">
        <v>460</v>
      </c>
      <c r="I98" s="21"/>
      <c r="J98" s="21">
        <v>42.373478300000002</v>
      </c>
      <c r="K98" s="19">
        <v>-83.247218599999997</v>
      </c>
      <c r="L98" s="21">
        <f>INDEX('course_coordinates (1)'!$D$2:$D$145,MATCH('Main Data'!N94,'course_coordinates (1)'!$A$2:$A$145,0))</f>
        <v>42.373478300000002</v>
      </c>
      <c r="M98" s="19">
        <f>INDEX('course_coordinates (1)'!$E$2:$E$145,MATCH('Main Data'!N94,'course_coordinates (1)'!$A$2:$A$145,0))</f>
        <v>-83.247218599999997</v>
      </c>
      <c r="N98" s="19" t="s">
        <v>37</v>
      </c>
    </row>
    <row r="99" spans="1:14" x14ac:dyDescent="0.3">
      <c r="A99" s="20">
        <v>12</v>
      </c>
      <c r="B99" s="20" t="s">
        <v>595</v>
      </c>
      <c r="C99" s="20" t="s">
        <v>38</v>
      </c>
      <c r="D99" s="20" t="s">
        <v>19</v>
      </c>
      <c r="E99" s="20" t="s">
        <v>15</v>
      </c>
      <c r="F99" s="43">
        <v>4.5</v>
      </c>
      <c r="G99" s="21">
        <f>VLOOKUP(B99, 'Slope Ratings'!$A$2:$C$147, 2, TRUE)</f>
        <v>0</v>
      </c>
      <c r="H99" s="20">
        <v>44</v>
      </c>
      <c r="I99" s="21"/>
      <c r="J99" s="21">
        <v>42.533126799999998</v>
      </c>
      <c r="K99" s="19">
        <v>-83.234329200000005</v>
      </c>
      <c r="L99" s="21" t="e">
        <f>INDEX('course_coordinates (1)'!$D$2:$D$145,MATCH('Main Data'!#REF!,'course_coordinates (1)'!$A$2:$A$145,0))</f>
        <v>#REF!</v>
      </c>
      <c r="M99" s="19" t="e">
        <f>INDEX('course_coordinates (1)'!$E$2:$E$145,MATCH('Main Data'!#REF!,'course_coordinates (1)'!$A$2:$A$145,0))</f>
        <v>#REF!</v>
      </c>
      <c r="N99" s="19" t="s">
        <v>554</v>
      </c>
    </row>
    <row r="100" spans="1:14" x14ac:dyDescent="0.3">
      <c r="A100" s="20">
        <v>79</v>
      </c>
      <c r="B100" s="20" t="s">
        <v>600</v>
      </c>
      <c r="C100" s="20" t="s">
        <v>82</v>
      </c>
      <c r="D100" s="28" t="s">
        <v>64</v>
      </c>
      <c r="E100" s="28" t="s">
        <v>65</v>
      </c>
      <c r="F100" s="42">
        <v>4.4000000000000004</v>
      </c>
      <c r="G100" s="21">
        <f>VLOOKUP(B100, 'Slope Ratings'!$A$2:$C$147, 2, TRUE)</f>
        <v>0</v>
      </c>
      <c r="H100" s="28">
        <v>558</v>
      </c>
      <c r="I100" s="29"/>
      <c r="J100" s="21">
        <v>42.6896171</v>
      </c>
      <c r="K100" s="19">
        <v>-82.942924399999995</v>
      </c>
      <c r="L100" s="21">
        <f>INDEX('course_coordinates (1)'!$D$2:$D$145,MATCH('Main Data'!N128,'course_coordinates (1)'!$A$2:$A$145,0))</f>
        <v>42.6896171</v>
      </c>
      <c r="M100" s="19">
        <f>INDEX('course_coordinates (1)'!$E$2:$E$145,MATCH('Main Data'!N128,'course_coordinates (1)'!$A$2:$A$145,0))</f>
        <v>-82.942924399999995</v>
      </c>
      <c r="N100" s="19" t="s">
        <v>138</v>
      </c>
    </row>
    <row r="101" spans="1:14" x14ac:dyDescent="0.3">
      <c r="A101" s="20">
        <v>41</v>
      </c>
      <c r="B101" s="20" t="s">
        <v>652</v>
      </c>
      <c r="C101" s="20" t="s">
        <v>122</v>
      </c>
      <c r="D101" s="20" t="s">
        <v>64</v>
      </c>
      <c r="E101" s="20" t="s">
        <v>15</v>
      </c>
      <c r="F101" s="43">
        <v>4.3</v>
      </c>
      <c r="G101" s="21">
        <f>VLOOKUP(B101, 'Slope Ratings'!$A$2:$C$147, 2, TRUE)</f>
        <v>0</v>
      </c>
      <c r="H101" s="20">
        <v>999</v>
      </c>
      <c r="I101" s="21"/>
      <c r="J101" s="21">
        <v>42.405417399999997</v>
      </c>
      <c r="K101" s="19">
        <v>-83.433615000000003</v>
      </c>
      <c r="L101" s="21">
        <f>INDEX('course_coordinates (1)'!$D$2:$D$145,MATCH('Main Data'!N11,'course_coordinates (1)'!$A$2:$A$145,0))</f>
        <v>42.405417399999997</v>
      </c>
      <c r="M101" s="19">
        <f>INDEX('course_coordinates (1)'!$E$2:$E$145,MATCH('Main Data'!N11,'course_coordinates (1)'!$A$2:$A$145,0))</f>
        <v>-83.433615000000003</v>
      </c>
      <c r="N101" s="19" t="s">
        <v>139</v>
      </c>
    </row>
    <row r="102" spans="1:14" x14ac:dyDescent="0.3">
      <c r="A102" s="20">
        <v>42</v>
      </c>
      <c r="B102" s="20" t="s">
        <v>653</v>
      </c>
      <c r="C102" s="20" t="s">
        <v>136</v>
      </c>
      <c r="D102" s="20" t="s">
        <v>64</v>
      </c>
      <c r="E102" s="20" t="s">
        <v>15</v>
      </c>
      <c r="F102" s="43">
        <v>3.9</v>
      </c>
      <c r="G102" s="21">
        <f>VLOOKUP(B102, 'Slope Ratings'!$A$2:$C$147, 2, TRUE)</f>
        <v>0</v>
      </c>
      <c r="H102" s="20">
        <v>193</v>
      </c>
      <c r="I102" s="21"/>
      <c r="J102" s="21">
        <v>42.301256000000002</v>
      </c>
      <c r="K102" s="19">
        <v>-83.273567999999997</v>
      </c>
      <c r="L102" s="21">
        <f>INDEX('course_coordinates (1)'!$D$2:$D$145,MATCH('Main Data'!N19,'course_coordinates (1)'!$A$2:$A$145,0))</f>
        <v>42.301256000000002</v>
      </c>
      <c r="M102" s="19">
        <f>INDEX('course_coordinates (1)'!$E$2:$E$145,MATCH('Main Data'!N19,'course_coordinates (1)'!$A$2:$A$145,0))</f>
        <v>-83.273567999999997</v>
      </c>
      <c r="N102" s="19" t="s">
        <v>562</v>
      </c>
    </row>
    <row r="103" spans="1:14" x14ac:dyDescent="0.3">
      <c r="A103" s="20">
        <v>64</v>
      </c>
      <c r="B103" s="20" t="s">
        <v>606</v>
      </c>
      <c r="C103" s="20" t="s">
        <v>172</v>
      </c>
      <c r="D103" s="20" t="s">
        <v>64</v>
      </c>
      <c r="E103" s="20" t="s">
        <v>15</v>
      </c>
      <c r="F103" s="43">
        <v>3.6</v>
      </c>
      <c r="G103" s="21">
        <f>VLOOKUP(B103, 'Slope Ratings'!$A$2:$C$147, 2, TRUE)</f>
        <v>0</v>
      </c>
      <c r="H103" s="20">
        <v>98</v>
      </c>
      <c r="I103" s="21"/>
      <c r="J103" s="21">
        <v>42.506780300000003</v>
      </c>
      <c r="K103" s="19">
        <v>-83.142342900000003</v>
      </c>
      <c r="L103" s="21">
        <f>INDEX('course_coordinates (1)'!$D$2:$D$145,MATCH('Main Data'!N91,'course_coordinates (1)'!$A$2:$A$145,0))</f>
        <v>42.506780300000003</v>
      </c>
      <c r="M103" s="19">
        <f>INDEX('course_coordinates (1)'!$E$2:$E$145,MATCH('Main Data'!N91,'course_coordinates (1)'!$A$2:$A$145,0))</f>
        <v>-83.142342900000003</v>
      </c>
      <c r="N103" s="19" t="s">
        <v>147</v>
      </c>
    </row>
    <row r="104" spans="1:14" x14ac:dyDescent="0.3">
      <c r="A104" s="20">
        <v>131</v>
      </c>
      <c r="B104" s="20" t="s">
        <v>607</v>
      </c>
      <c r="C104" s="20" t="s">
        <v>242</v>
      </c>
      <c r="D104" s="20" t="s">
        <v>213</v>
      </c>
      <c r="E104" s="20" t="s">
        <v>15</v>
      </c>
      <c r="F104" s="43">
        <v>4.2</v>
      </c>
      <c r="G104" s="21">
        <f>VLOOKUP(B104, 'Slope Ratings'!$A$2:$C$147, 2, TRUE)</f>
        <v>0</v>
      </c>
      <c r="H104" s="20">
        <v>116</v>
      </c>
      <c r="I104" s="21"/>
      <c r="J104" s="21">
        <v>42.578480399999997</v>
      </c>
      <c r="K104" s="19">
        <v>-82.986638299999996</v>
      </c>
      <c r="L104" s="21">
        <f>INDEX('course_coordinates (1)'!$D$2:$D$145,MATCH('Main Data'!N89,'course_coordinates (1)'!$A$2:$A$145,0))</f>
        <v>42.578480399999997</v>
      </c>
      <c r="M104" s="19">
        <f>INDEX('course_coordinates (1)'!$E$2:$E$145,MATCH('Main Data'!N89,'course_coordinates (1)'!$A$2:$A$145,0))</f>
        <v>-82.986638299999996</v>
      </c>
      <c r="N104" s="19" t="s">
        <v>140</v>
      </c>
    </row>
    <row r="105" spans="1:14" x14ac:dyDescent="0.3">
      <c r="A105" s="20">
        <v>43</v>
      </c>
      <c r="B105" s="20" t="s">
        <v>605</v>
      </c>
      <c r="C105" s="20" t="s">
        <v>67</v>
      </c>
      <c r="D105" s="20" t="s">
        <v>64</v>
      </c>
      <c r="E105" s="20" t="s">
        <v>15</v>
      </c>
      <c r="F105" s="43">
        <v>4.5</v>
      </c>
      <c r="G105" s="21">
        <f>VLOOKUP(B105, 'Slope Ratings'!$A$2:$C$147, 2, TRUE)</f>
        <v>0</v>
      </c>
      <c r="H105" s="20">
        <v>95</v>
      </c>
      <c r="I105" s="21"/>
      <c r="J105" s="21">
        <v>42.266574200000001</v>
      </c>
      <c r="K105" s="19">
        <v>-83.363127500000004</v>
      </c>
      <c r="L105" s="21">
        <f>INDEX('course_coordinates (1)'!$D$2:$D$145,MATCH('Main Data'!N34,'course_coordinates (1)'!$A$2:$A$145,0))</f>
        <v>42.266574200000001</v>
      </c>
      <c r="M105" s="19">
        <f>INDEX('course_coordinates (1)'!$E$2:$E$145,MATCH('Main Data'!N34,'course_coordinates (1)'!$A$2:$A$145,0))</f>
        <v>-83.363127500000004</v>
      </c>
      <c r="N105" s="19" t="s">
        <v>33</v>
      </c>
    </row>
    <row r="106" spans="1:14" x14ac:dyDescent="0.3">
      <c r="A106" s="20">
        <v>110</v>
      </c>
      <c r="B106" s="20" t="s">
        <v>654</v>
      </c>
      <c r="C106" s="20" t="s">
        <v>141</v>
      </c>
      <c r="D106" s="20" t="s">
        <v>64</v>
      </c>
      <c r="E106" s="20" t="s">
        <v>15</v>
      </c>
      <c r="F106" s="43">
        <v>4.3</v>
      </c>
      <c r="G106" s="21">
        <f>VLOOKUP(B106, 'Slope Ratings'!$A$2:$C$147, 2, TRUE)</f>
        <v>0</v>
      </c>
      <c r="H106" s="20">
        <v>276</v>
      </c>
      <c r="I106" s="21"/>
      <c r="J106" s="21">
        <v>42.588615500000003</v>
      </c>
      <c r="K106" s="19">
        <v>-83.629963700000005</v>
      </c>
      <c r="L106" s="21">
        <f>INDEX('course_coordinates (1)'!$D$2:$D$145,MATCH('Main Data'!N71,'course_coordinates (1)'!$A$2:$A$145,0))</f>
        <v>42.588615500000003</v>
      </c>
      <c r="M106" s="19">
        <f>INDEX('course_coordinates (1)'!$E$2:$E$145,MATCH('Main Data'!N71,'course_coordinates (1)'!$A$2:$A$145,0))</f>
        <v>-83.629963700000005</v>
      </c>
      <c r="N106" s="19" t="s">
        <v>97</v>
      </c>
    </row>
    <row r="107" spans="1:14" x14ac:dyDescent="0.3">
      <c r="A107" s="20">
        <v>10</v>
      </c>
      <c r="B107" s="20" t="s">
        <v>616</v>
      </c>
      <c r="C107" s="20" t="s">
        <v>34</v>
      </c>
      <c r="D107" s="20" t="s">
        <v>19</v>
      </c>
      <c r="E107" s="20" t="s">
        <v>15</v>
      </c>
      <c r="F107" s="43">
        <v>3.8</v>
      </c>
      <c r="G107" s="21">
        <f>VLOOKUP(B107, 'Slope Ratings'!$A$2:$C$147, 2, TRUE)</f>
        <v>0</v>
      </c>
      <c r="H107" s="20">
        <v>307</v>
      </c>
      <c r="I107" s="21"/>
      <c r="J107" s="21">
        <v>42.557174600000003</v>
      </c>
      <c r="K107" s="19">
        <v>-83.397872899999996</v>
      </c>
      <c r="L107" s="21">
        <f>INDEX('course_coordinates (1)'!$D$2:$D$145,MATCH('Main Data'!N99,'course_coordinates (1)'!$A$2:$A$145,0))</f>
        <v>42.557174600000003</v>
      </c>
      <c r="M107" s="19">
        <f>INDEX('course_coordinates (1)'!$E$2:$E$145,MATCH('Main Data'!N99,'course_coordinates (1)'!$A$2:$A$145,0))</f>
        <v>-83.397872899999996</v>
      </c>
      <c r="N107" s="19" t="s">
        <v>57</v>
      </c>
    </row>
    <row r="108" spans="1:14" x14ac:dyDescent="0.3">
      <c r="A108" s="20">
        <v>121</v>
      </c>
      <c r="B108" s="20" t="s">
        <v>634</v>
      </c>
      <c r="C108" s="20" t="s">
        <v>67</v>
      </c>
      <c r="D108" s="20" t="s">
        <v>64</v>
      </c>
      <c r="E108" s="20" t="s">
        <v>65</v>
      </c>
      <c r="F108" s="43">
        <v>4.8</v>
      </c>
      <c r="G108" s="21">
        <f>VLOOKUP(B108, 'Slope Ratings'!$A$2:$C$147, 2, TRUE)</f>
        <v>0</v>
      </c>
      <c r="H108" s="20">
        <v>42</v>
      </c>
      <c r="I108" s="21"/>
      <c r="J108" s="21">
        <v>42.794826999999998</v>
      </c>
      <c r="K108" s="19">
        <v>-83.294546800000006</v>
      </c>
      <c r="L108" s="21">
        <f>INDEX('course_coordinates (1)'!$D$2:$D$145,MATCH('Main Data'!N78,'course_coordinates (1)'!$A$2:$A$145,0))</f>
        <v>42.794826999999998</v>
      </c>
      <c r="M108" s="19">
        <f>INDEX('course_coordinates (1)'!$E$2:$E$145,MATCH('Main Data'!N78,'course_coordinates (1)'!$A$2:$A$145,0))</f>
        <v>-83.294546800000006</v>
      </c>
      <c r="N108" s="19" t="s">
        <v>580</v>
      </c>
    </row>
    <row r="109" spans="1:14" x14ac:dyDescent="0.3">
      <c r="A109" s="20">
        <v>129</v>
      </c>
      <c r="B109" s="20" t="s">
        <v>623</v>
      </c>
      <c r="C109" s="20" t="s">
        <v>19</v>
      </c>
      <c r="D109" s="20" t="s">
        <v>19</v>
      </c>
      <c r="E109" s="20" t="s">
        <v>15</v>
      </c>
      <c r="F109" s="43">
        <v>3.9</v>
      </c>
      <c r="G109" s="21">
        <f>VLOOKUP(B109, 'Slope Ratings'!$A$2:$C$147, 2, TRUE)</f>
        <v>0</v>
      </c>
      <c r="H109" s="20">
        <v>671</v>
      </c>
      <c r="I109" s="21"/>
      <c r="J109" s="21">
        <v>42.125106799999998</v>
      </c>
      <c r="K109" s="19">
        <v>-83.172485300000005</v>
      </c>
      <c r="L109" s="21">
        <f>INDEX('course_coordinates (1)'!$D$2:$D$145,MATCH('Main Data'!N120,'course_coordinates (1)'!$A$2:$A$145,0))</f>
        <v>42.125106799999998</v>
      </c>
      <c r="M109" s="19">
        <f>INDEX('course_coordinates (1)'!$E$2:$E$145,MATCH('Main Data'!N120,'course_coordinates (1)'!$A$2:$A$145,0))</f>
        <v>-83.172485300000005</v>
      </c>
      <c r="N109" s="19" t="s">
        <v>590</v>
      </c>
    </row>
    <row r="110" spans="1:14" x14ac:dyDescent="0.3">
      <c r="A110" s="20">
        <v>80</v>
      </c>
      <c r="B110" s="20" t="s">
        <v>664</v>
      </c>
      <c r="C110" s="20" t="s">
        <v>172</v>
      </c>
      <c r="D110" s="20" t="s">
        <v>64</v>
      </c>
      <c r="E110" s="20" t="s">
        <v>15</v>
      </c>
      <c r="F110" s="43">
        <v>4.2</v>
      </c>
      <c r="G110" s="21">
        <f>VLOOKUP(B110, 'Slope Ratings'!$A$2:$C$147, 2, TRUE)</f>
        <v>0</v>
      </c>
      <c r="H110" s="20">
        <v>647</v>
      </c>
      <c r="I110" s="21"/>
      <c r="J110" s="21">
        <v>42.362858799999998</v>
      </c>
      <c r="K110" s="19">
        <v>-83.593107099999997</v>
      </c>
      <c r="L110" s="21">
        <f>INDEX('course_coordinates (1)'!$D$2:$D$145,MATCH('Main Data'!N32,'course_coordinates (1)'!$A$2:$A$145,0))</f>
        <v>42.362858799999998</v>
      </c>
      <c r="M110" s="19">
        <f>INDEX('course_coordinates (1)'!$E$2:$E$145,MATCH('Main Data'!N32,'course_coordinates (1)'!$A$2:$A$145,0))</f>
        <v>-83.593107099999997</v>
      </c>
      <c r="N110" s="19" t="s">
        <v>586</v>
      </c>
    </row>
    <row r="111" spans="1:14" x14ac:dyDescent="0.3">
      <c r="A111" s="20">
        <v>84</v>
      </c>
      <c r="B111" s="20" t="s">
        <v>639</v>
      </c>
      <c r="C111" s="28" t="s">
        <v>82</v>
      </c>
      <c r="D111" s="28" t="s">
        <v>64</v>
      </c>
      <c r="E111" s="28" t="s">
        <v>65</v>
      </c>
      <c r="F111" s="42">
        <v>4.9000000000000004</v>
      </c>
      <c r="G111" s="21">
        <f>VLOOKUP(B111, 'Slope Ratings'!$A$2:$C$147, 2, TRUE)</f>
        <v>0</v>
      </c>
      <c r="H111" s="28">
        <v>16</v>
      </c>
      <c r="I111" s="29"/>
      <c r="J111" s="21">
        <v>42.555314899999999</v>
      </c>
      <c r="K111" s="19">
        <v>-83.522942299999997</v>
      </c>
      <c r="L111" s="21">
        <f>INDEX('course_coordinates (1)'!$D$2:$D$145,MATCH('Main Data'!N47,'course_coordinates (1)'!$A$2:$A$145,0))</f>
        <v>42.555314899999999</v>
      </c>
      <c r="M111" s="19">
        <f>INDEX('course_coordinates (1)'!$E$2:$E$145,MATCH('Main Data'!N47,'course_coordinates (1)'!$A$2:$A$145,0))</f>
        <v>-83.522942299999997</v>
      </c>
      <c r="N111" s="19" t="s">
        <v>544</v>
      </c>
    </row>
    <row r="112" spans="1:14" x14ac:dyDescent="0.3">
      <c r="A112" s="20">
        <v>72</v>
      </c>
      <c r="B112" s="20" t="s">
        <v>708</v>
      </c>
      <c r="C112" s="28" t="s">
        <v>103</v>
      </c>
      <c r="D112" s="28" t="s">
        <v>64</v>
      </c>
      <c r="E112" s="28" t="s">
        <v>15</v>
      </c>
      <c r="F112" s="42">
        <v>4.4000000000000004</v>
      </c>
      <c r="G112" s="21">
        <f>VLOOKUP(B112, 'Slope Ratings'!$A$2:$C$147, 2, TRUE)</f>
        <v>0</v>
      </c>
      <c r="H112" s="28"/>
      <c r="I112" s="29"/>
      <c r="J112" s="21">
        <v>42.743091800000002</v>
      </c>
      <c r="K112" s="19">
        <v>-83.346921199999997</v>
      </c>
      <c r="L112" s="21">
        <f>INDEX('course_coordinates (1)'!$D$2:$D$145,MATCH('Main Data'!N74,'course_coordinates (1)'!$A$2:$A$145,0))</f>
        <v>42.743091800000002</v>
      </c>
      <c r="M112" s="19">
        <f>INDEX('course_coordinates (1)'!$E$2:$E$145,MATCH('Main Data'!N74,'course_coordinates (1)'!$A$2:$A$145,0))</f>
        <v>-83.346921199999997</v>
      </c>
      <c r="N112" s="19" t="s">
        <v>142</v>
      </c>
    </row>
    <row r="113" spans="1:14" x14ac:dyDescent="0.3">
      <c r="A113" s="20">
        <v>69</v>
      </c>
      <c r="B113" s="22" t="s">
        <v>683</v>
      </c>
      <c r="C113" s="22" t="s">
        <v>254</v>
      </c>
      <c r="D113" s="22" t="s">
        <v>213</v>
      </c>
      <c r="E113" s="22" t="s">
        <v>15</v>
      </c>
      <c r="F113" s="44">
        <v>4.3</v>
      </c>
      <c r="G113" s="21">
        <f>VLOOKUP(B113, 'Slope Ratings'!$A$2:$C$147, 2, TRUE)</f>
        <v>0</v>
      </c>
      <c r="H113" s="32"/>
      <c r="J113" s="21">
        <v>42.167703500000002</v>
      </c>
      <c r="K113" s="19">
        <v>-83.205145700000003</v>
      </c>
      <c r="L113" s="21">
        <f>INDEX('course_coordinates (1)'!$D$2:$D$145,MATCH('Main Data'!N92,'course_coordinates (1)'!$A$2:$A$145,0))</f>
        <v>42.167703500000002</v>
      </c>
      <c r="M113" s="19">
        <f>INDEX('course_coordinates (1)'!$E$2:$E$145,MATCH('Main Data'!N92,'course_coordinates (1)'!$A$2:$A$145,0))</f>
        <v>-83.205145700000003</v>
      </c>
      <c r="N113" s="19" t="s">
        <v>98</v>
      </c>
    </row>
    <row r="114" spans="1:14" x14ac:dyDescent="0.3">
      <c r="A114" s="20">
        <v>44</v>
      </c>
      <c r="B114" s="22" t="s">
        <v>544</v>
      </c>
      <c r="C114" s="22" t="s">
        <v>545</v>
      </c>
      <c r="D114" s="22" t="s">
        <v>213</v>
      </c>
      <c r="E114" s="22" t="s">
        <v>15</v>
      </c>
      <c r="F114" s="44">
        <v>4.2</v>
      </c>
      <c r="G114" s="21">
        <f>VLOOKUP(B114, 'Slope Ratings'!$A$2:$C$147, 2, TRUE)</f>
        <v>0</v>
      </c>
      <c r="H114" s="22">
        <v>77</v>
      </c>
      <c r="J114" s="21">
        <v>42.259149499999999</v>
      </c>
      <c r="K114" s="19">
        <v>-83.570399499999994</v>
      </c>
      <c r="L114" s="21">
        <f>INDEX('course_coordinates (1)'!$D$2:$D$145,MATCH('Main Data'!N41,'course_coordinates (1)'!$A$2:$A$145,0))</f>
        <v>42.259149499999999</v>
      </c>
      <c r="M114" s="19">
        <f>INDEX('course_coordinates (1)'!$E$2:$E$145,MATCH('Main Data'!N41,'course_coordinates (1)'!$A$2:$A$145,0))</f>
        <v>-83.570399499999994</v>
      </c>
      <c r="N114" s="19" t="s">
        <v>223</v>
      </c>
    </row>
    <row r="115" spans="1:14" x14ac:dyDescent="0.3">
      <c r="A115" s="20">
        <v>123</v>
      </c>
      <c r="B115" s="22" t="s">
        <v>655</v>
      </c>
      <c r="C115" s="22" t="s">
        <v>143</v>
      </c>
      <c r="D115" s="22" t="s">
        <v>64</v>
      </c>
      <c r="E115" s="22" t="s">
        <v>15</v>
      </c>
      <c r="F115" s="44">
        <v>4.2</v>
      </c>
      <c r="G115" s="21">
        <f>VLOOKUP(B115, 'Slope Ratings'!$A$2:$C$147, 2, TRUE)</f>
        <v>0</v>
      </c>
      <c r="H115" s="22">
        <v>392</v>
      </c>
      <c r="I115" s="30"/>
      <c r="J115" s="21">
        <v>42.738699599999997</v>
      </c>
      <c r="K115" s="19">
        <v>-83.1820819</v>
      </c>
      <c r="L115" s="21">
        <f>INDEX('course_coordinates (1)'!$D$2:$D$145,MATCH('Main Data'!N113,'course_coordinates (1)'!$A$2:$A$145,0))</f>
        <v>42.738699599999997</v>
      </c>
      <c r="M115" s="19">
        <f>INDEX('course_coordinates (1)'!$E$2:$E$145,MATCH('Main Data'!N113,'course_coordinates (1)'!$A$2:$A$145,0))</f>
        <v>-83.1820819</v>
      </c>
      <c r="N115" s="19" t="s">
        <v>182</v>
      </c>
    </row>
    <row r="116" spans="1:14" x14ac:dyDescent="0.3">
      <c r="A116" s="20">
        <v>101</v>
      </c>
      <c r="B116" s="22" t="s">
        <v>624</v>
      </c>
      <c r="C116" s="22" t="s">
        <v>23</v>
      </c>
      <c r="D116" s="22" t="s">
        <v>19</v>
      </c>
      <c r="E116" s="22" t="s">
        <v>15</v>
      </c>
      <c r="F116" s="44">
        <v>4.3</v>
      </c>
      <c r="G116" s="21">
        <f>VLOOKUP(B116, 'Slope Ratings'!$A$2:$C$147, 2, TRUE)</f>
        <v>0</v>
      </c>
      <c r="H116" s="31">
        <v>378</v>
      </c>
      <c r="I116" s="30"/>
      <c r="J116" s="21">
        <v>42.582023599999999</v>
      </c>
      <c r="K116" s="19">
        <v>-83.439877199999998</v>
      </c>
      <c r="L116" s="21">
        <f>INDEX('course_coordinates (1)'!$D$2:$D$145,MATCH('Main Data'!N2,'course_coordinates (1)'!$A$2:$A$145,0))</f>
        <v>42.582023599999999</v>
      </c>
      <c r="M116" s="19">
        <f>INDEX('course_coordinates (1)'!$E$2:$E$145,MATCH('Main Data'!N2,'course_coordinates (1)'!$A$2:$A$145,0))</f>
        <v>-83.439877199999998</v>
      </c>
      <c r="N116" s="19" t="s">
        <v>100</v>
      </c>
    </row>
    <row r="117" spans="1:14" x14ac:dyDescent="0.3">
      <c r="A117" s="20">
        <v>52</v>
      </c>
      <c r="B117" s="22" t="s">
        <v>635</v>
      </c>
      <c r="C117" s="22" t="s">
        <v>77</v>
      </c>
      <c r="D117" s="22" t="s">
        <v>64</v>
      </c>
      <c r="E117" s="22" t="s">
        <v>65</v>
      </c>
      <c r="F117" s="45">
        <v>4.5999999999999996</v>
      </c>
      <c r="G117" s="21">
        <f>VLOOKUP(B117, 'Slope Ratings'!$A$2:$C$147, 2, TRUE)</f>
        <v>0</v>
      </c>
      <c r="H117" s="31">
        <v>269</v>
      </c>
      <c r="I117" s="30"/>
      <c r="J117" s="21">
        <v>42.592991900000001</v>
      </c>
      <c r="K117" s="19">
        <v>-83.343317099999993</v>
      </c>
      <c r="L117" s="21">
        <f>INDEX('course_coordinates (1)'!$D$2:$D$145,MATCH('Main Data'!N81,'course_coordinates (1)'!$A$2:$A$145,0))</f>
        <v>42.592991900000001</v>
      </c>
      <c r="M117" s="19">
        <f>INDEX('course_coordinates (1)'!$E$2:$E$145,MATCH('Main Data'!N81,'course_coordinates (1)'!$A$2:$A$145,0))</f>
        <v>-83.343317099999993</v>
      </c>
      <c r="N117" s="19" t="s">
        <v>102</v>
      </c>
    </row>
    <row r="118" spans="1:14" x14ac:dyDescent="0.3">
      <c r="A118" s="20">
        <v>114</v>
      </c>
      <c r="B118" s="22" t="s">
        <v>223</v>
      </c>
      <c r="C118" s="22" t="s">
        <v>215</v>
      </c>
      <c r="D118" s="22" t="s">
        <v>213</v>
      </c>
      <c r="E118" s="22" t="s">
        <v>65</v>
      </c>
      <c r="F118" s="45">
        <v>4.5999999999999996</v>
      </c>
      <c r="G118" s="21">
        <f>VLOOKUP(B118, 'Slope Ratings'!$A$2:$C$147, 2, TRUE)</f>
        <v>0</v>
      </c>
      <c r="H118" s="31">
        <v>337</v>
      </c>
      <c r="I118" s="30" t="s">
        <v>225</v>
      </c>
      <c r="J118" s="21">
        <v>42.195953299999999</v>
      </c>
      <c r="K118" s="19">
        <v>-83.1515579</v>
      </c>
      <c r="L118" s="21">
        <f>INDEX('course_coordinates (1)'!$D$2:$D$145,MATCH('Main Data'!N127,'course_coordinates (1)'!$A$2:$A$145,0))</f>
        <v>42.195953299999999</v>
      </c>
      <c r="M118" s="19">
        <f>INDEX('course_coordinates (1)'!$E$2:$E$145,MATCH('Main Data'!N127,'course_coordinates (1)'!$A$2:$A$145,0))</f>
        <v>-83.1515579</v>
      </c>
      <c r="N118" s="19" t="s">
        <v>35</v>
      </c>
    </row>
    <row r="119" spans="1:14" x14ac:dyDescent="0.3">
      <c r="A119" s="20">
        <v>21</v>
      </c>
      <c r="B119" s="22" t="s">
        <v>666</v>
      </c>
      <c r="C119" s="22" t="s">
        <v>111</v>
      </c>
      <c r="D119" s="22" t="s">
        <v>64</v>
      </c>
      <c r="E119" s="22" t="s">
        <v>15</v>
      </c>
      <c r="F119" s="45">
        <v>4.3</v>
      </c>
      <c r="G119" s="21">
        <f>VLOOKUP(B119, 'Slope Ratings'!$A$2:$C$147, 2, TRUE)</f>
        <v>0</v>
      </c>
      <c r="H119" s="31">
        <v>359</v>
      </c>
      <c r="I119" s="30"/>
      <c r="J119" s="21">
        <v>42.365600499999999</v>
      </c>
      <c r="K119" s="19">
        <v>-83.504638600000007</v>
      </c>
      <c r="L119" s="21">
        <f>INDEX('course_coordinates (1)'!$D$2:$D$145,MATCH('Main Data'!N50,'course_coordinates (1)'!$A$2:$A$145,0))</f>
        <v>42.365600499999999</v>
      </c>
      <c r="M119" s="19">
        <f>INDEX('course_coordinates (1)'!$E$2:$E$145,MATCH('Main Data'!N50,'course_coordinates (1)'!$A$2:$A$145,0))</f>
        <v>-83.504638600000007</v>
      </c>
      <c r="N119" s="19" t="s">
        <v>258</v>
      </c>
    </row>
    <row r="120" spans="1:14" x14ac:dyDescent="0.3">
      <c r="A120" s="20">
        <v>22</v>
      </c>
      <c r="B120" s="22" t="s">
        <v>100</v>
      </c>
      <c r="C120" s="22" t="s">
        <v>73</v>
      </c>
      <c r="D120" s="22" t="s">
        <v>64</v>
      </c>
      <c r="E120" s="22" t="s">
        <v>65</v>
      </c>
      <c r="F120" s="45">
        <v>4.5999999999999996</v>
      </c>
      <c r="G120" s="21">
        <f>VLOOKUP(B120, 'Slope Ratings'!$A$2:$C$147, 2, TRUE)</f>
        <v>0</v>
      </c>
      <c r="H120" s="31">
        <v>311</v>
      </c>
      <c r="I120" s="30" t="s">
        <v>101</v>
      </c>
      <c r="J120" s="21">
        <v>42.635489999999997</v>
      </c>
      <c r="K120" s="19">
        <v>-83.641190499999993</v>
      </c>
      <c r="L120" s="21">
        <f>INDEX('course_coordinates (1)'!$D$2:$D$145,MATCH('Main Data'!N87,'course_coordinates (1)'!$A$2:$A$145,0))</f>
        <v>42.635489999999997</v>
      </c>
      <c r="M120" s="19">
        <f>INDEX('course_coordinates (1)'!$E$2:$E$145,MATCH('Main Data'!N87,'course_coordinates (1)'!$A$2:$A$145,0))</f>
        <v>-83.641190499999993</v>
      </c>
      <c r="N120" s="19" t="s">
        <v>582</v>
      </c>
    </row>
    <row r="121" spans="1:14" x14ac:dyDescent="0.3">
      <c r="A121" s="20">
        <v>11</v>
      </c>
      <c r="B121" s="22" t="s">
        <v>636</v>
      </c>
      <c r="C121" s="22" t="s">
        <v>103</v>
      </c>
      <c r="D121" s="22" t="s">
        <v>64</v>
      </c>
      <c r="E121" s="22" t="s">
        <v>65</v>
      </c>
      <c r="F121" s="45">
        <v>4.7</v>
      </c>
      <c r="G121" s="21">
        <f>VLOOKUP(B121, 'Slope Ratings'!$A$2:$C$147, 2, TRUE)</f>
        <v>0</v>
      </c>
      <c r="H121" s="31">
        <v>212</v>
      </c>
      <c r="I121" s="30"/>
      <c r="J121" s="21">
        <v>42.682091</v>
      </c>
      <c r="K121" s="19">
        <v>-83.338667999999998</v>
      </c>
      <c r="L121" s="21">
        <f>INDEX('course_coordinates (1)'!$D$2:$D$145,MATCH('Main Data'!N101,'course_coordinates (1)'!$A$2:$A$145,0))</f>
        <v>42.682091</v>
      </c>
      <c r="M121" s="19">
        <f>INDEX('course_coordinates (1)'!$E$2:$E$145,MATCH('Main Data'!N101,'course_coordinates (1)'!$A$2:$A$145,0))</f>
        <v>-83.338667999999998</v>
      </c>
      <c r="N121" s="19" t="s">
        <v>226</v>
      </c>
    </row>
    <row r="122" spans="1:14" x14ac:dyDescent="0.3">
      <c r="A122" s="20">
        <v>100</v>
      </c>
      <c r="B122" s="24" t="s">
        <v>617</v>
      </c>
      <c r="C122" s="24" t="s">
        <v>36</v>
      </c>
      <c r="D122" s="31" t="s">
        <v>19</v>
      </c>
      <c r="E122" s="31" t="s">
        <v>15</v>
      </c>
      <c r="F122" s="45">
        <v>3.9</v>
      </c>
      <c r="G122" s="21">
        <f>VLOOKUP(B122, 'Slope Ratings'!$A$2:$C$147, 2, TRUE)</f>
        <v>0</v>
      </c>
      <c r="H122" s="31">
        <v>154</v>
      </c>
      <c r="I122" s="30"/>
      <c r="J122" s="21">
        <v>42.589495300000003</v>
      </c>
      <c r="K122" s="19">
        <v>-82.861243900000005</v>
      </c>
      <c r="L122" s="21">
        <f>INDEX('course_coordinates (1)'!$D$2:$D$145,MATCH('Main Data'!N39,'course_coordinates (1)'!$A$2:$A$145,0))</f>
        <v>42.589495300000003</v>
      </c>
      <c r="M122" s="19">
        <f>INDEX('course_coordinates (1)'!$E$2:$E$145,MATCH('Main Data'!N39,'course_coordinates (1)'!$A$2:$A$145,0))</f>
        <v>-82.861243900000005</v>
      </c>
      <c r="N122" s="19" t="s">
        <v>235</v>
      </c>
    </row>
    <row r="123" spans="1:14" x14ac:dyDescent="0.3">
      <c r="A123" s="20">
        <v>113</v>
      </c>
      <c r="B123" s="24" t="s">
        <v>679</v>
      </c>
      <c r="C123" s="24" t="s">
        <v>259</v>
      </c>
      <c r="D123" s="31" t="s">
        <v>213</v>
      </c>
      <c r="E123" s="31" t="s">
        <v>15</v>
      </c>
      <c r="F123" s="45">
        <v>4</v>
      </c>
      <c r="G123" s="21">
        <f>VLOOKUP(B123, 'Slope Ratings'!$A$2:$C$147, 2, TRUE)</f>
        <v>0</v>
      </c>
      <c r="H123" s="31">
        <v>527</v>
      </c>
      <c r="I123" s="30"/>
      <c r="J123" s="21">
        <v>42.437730600000002</v>
      </c>
      <c r="K123" s="19">
        <v>-83.412829299999999</v>
      </c>
      <c r="L123" s="21">
        <f>INDEX('course_coordinates (1)'!$D$2:$D$145,MATCH('Main Data'!N123,'course_coordinates (1)'!$A$2:$A$145,0))</f>
        <v>42.437730600000002</v>
      </c>
      <c r="M123" s="19">
        <f>INDEX('course_coordinates (1)'!$E$2:$E$145,MATCH('Main Data'!N123,'course_coordinates (1)'!$A$2:$A$145,0))</f>
        <v>-83.412829299999999</v>
      </c>
      <c r="N123" s="19" t="s">
        <v>261</v>
      </c>
    </row>
    <row r="124" spans="1:14" x14ac:dyDescent="0.3">
      <c r="A124" s="20">
        <v>77</v>
      </c>
      <c r="B124" s="24" t="s">
        <v>686</v>
      </c>
      <c r="C124" s="24" t="s">
        <v>556</v>
      </c>
      <c r="D124" s="31" t="s">
        <v>213</v>
      </c>
      <c r="E124" s="31" t="s">
        <v>15</v>
      </c>
      <c r="F124" s="45">
        <v>4</v>
      </c>
      <c r="G124" s="21">
        <f>VLOOKUP(B124, 'Slope Ratings'!$A$2:$C$147, 2, TRUE)</f>
        <v>0</v>
      </c>
      <c r="J124" s="21">
        <v>42.054071999999998</v>
      </c>
      <c r="K124" s="19">
        <v>-83.199972000000002</v>
      </c>
      <c r="L124" s="21">
        <f>INDEX('course_coordinates (1)'!$D$2:$D$145,MATCH('Main Data'!N57,'course_coordinates (1)'!$A$2:$A$145,0))</f>
        <v>42.054071999999998</v>
      </c>
      <c r="M124" s="19">
        <f>INDEX('course_coordinates (1)'!$E$2:$E$145,MATCH('Main Data'!N57,'course_coordinates (1)'!$A$2:$A$145,0))</f>
        <v>-83.199972000000002</v>
      </c>
      <c r="N124" s="19" t="s">
        <v>144</v>
      </c>
    </row>
    <row r="125" spans="1:14" x14ac:dyDescent="0.3">
      <c r="A125" s="20">
        <v>57</v>
      </c>
      <c r="B125" s="24" t="s">
        <v>668</v>
      </c>
      <c r="C125" s="24" t="s">
        <v>227</v>
      </c>
      <c r="D125" s="31" t="s">
        <v>213</v>
      </c>
      <c r="E125" s="31" t="s">
        <v>65</v>
      </c>
      <c r="F125" s="46">
        <v>4.5999999999999996</v>
      </c>
      <c r="G125" s="21">
        <f>VLOOKUP(B125, 'Slope Ratings'!$A$2:$C$147, 2, TRUE)</f>
        <v>0</v>
      </c>
      <c r="H125" s="31">
        <v>59</v>
      </c>
      <c r="I125" s="30"/>
      <c r="J125" s="21">
        <v>42.413930000000001</v>
      </c>
      <c r="K125" s="19">
        <v>-83.290976499999999</v>
      </c>
      <c r="L125" s="21">
        <f>INDEX('course_coordinates (1)'!$D$2:$D$145,MATCH('Main Data'!N38,'course_coordinates (1)'!$A$2:$A$145,0))</f>
        <v>42.413930000000001</v>
      </c>
      <c r="M125" s="19">
        <f>INDEX('course_coordinates (1)'!$E$2:$E$145,MATCH('Main Data'!N38,'course_coordinates (1)'!$A$2:$A$145,0))</f>
        <v>-83.290976499999999</v>
      </c>
      <c r="N125" s="19" t="s">
        <v>546</v>
      </c>
    </row>
    <row r="126" spans="1:14" x14ac:dyDescent="0.3">
      <c r="A126" s="20">
        <v>98</v>
      </c>
      <c r="B126" s="31" t="s">
        <v>706</v>
      </c>
      <c r="C126" s="31" t="s">
        <v>236</v>
      </c>
      <c r="D126" s="31" t="s">
        <v>213</v>
      </c>
      <c r="E126" s="31" t="s">
        <v>15</v>
      </c>
      <c r="F126" s="46">
        <v>4.5999999999999996</v>
      </c>
      <c r="G126" s="21">
        <f>VLOOKUP(B126, 'Slope Ratings'!$A$2:$C$147, 2, TRUE)</f>
        <v>0</v>
      </c>
      <c r="H126" s="31">
        <v>214</v>
      </c>
      <c r="I126" s="30"/>
      <c r="J126" s="21">
        <v>42.519021600000002</v>
      </c>
      <c r="K126" s="19">
        <v>-83.178530300000006</v>
      </c>
      <c r="L126" s="21">
        <f>INDEX('course_coordinates (1)'!$D$2:$D$145,MATCH('Main Data'!N95,'course_coordinates (1)'!$A$2:$A$145,0))</f>
        <v>42.519021600000002</v>
      </c>
      <c r="M126" s="19">
        <f>INDEX('course_coordinates (1)'!$E$2:$E$145,MATCH('Main Data'!N95,'course_coordinates (1)'!$A$2:$A$145,0))</f>
        <v>-83.178530300000006</v>
      </c>
      <c r="N126" s="19" t="s">
        <v>552</v>
      </c>
    </row>
    <row r="127" spans="1:14" x14ac:dyDescent="0.3">
      <c r="A127" s="20">
        <v>96</v>
      </c>
      <c r="B127" s="24" t="s">
        <v>680</v>
      </c>
      <c r="C127" s="24" t="s">
        <v>246</v>
      </c>
      <c r="D127" s="31" t="s">
        <v>213</v>
      </c>
      <c r="E127" s="31" t="s">
        <v>15</v>
      </c>
      <c r="F127" s="46">
        <v>4.2</v>
      </c>
      <c r="G127" s="21">
        <f>VLOOKUP(B127, 'Slope Ratings'!$A$2:$C$147, 2, TRUE)</f>
        <v>0</v>
      </c>
      <c r="H127" s="31">
        <v>362</v>
      </c>
      <c r="I127" s="30"/>
      <c r="J127" s="21">
        <v>42.548213500000003</v>
      </c>
      <c r="K127" s="19">
        <v>-82.958743299999995</v>
      </c>
      <c r="L127" s="21">
        <f>INDEX('course_coordinates (1)'!$D$2:$D$145,MATCH('Main Data'!N118,'course_coordinates (1)'!$A$2:$A$145,0))</f>
        <v>42.548213500000003</v>
      </c>
      <c r="M127" s="19">
        <f>INDEX('course_coordinates (1)'!$E$2:$E$145,MATCH('Main Data'!N118,'course_coordinates (1)'!$A$2:$A$145,0))</f>
        <v>-82.958743299999995</v>
      </c>
      <c r="N127" s="19" t="s">
        <v>238</v>
      </c>
    </row>
    <row r="128" spans="1:14" x14ac:dyDescent="0.3">
      <c r="A128" s="20">
        <v>45</v>
      </c>
      <c r="B128" s="31" t="s">
        <v>691</v>
      </c>
      <c r="C128" s="31" t="s">
        <v>115</v>
      </c>
      <c r="D128" s="31" t="s">
        <v>64</v>
      </c>
      <c r="E128" s="31" t="s">
        <v>15</v>
      </c>
      <c r="F128" s="46">
        <v>4.0999999999999996</v>
      </c>
      <c r="G128" s="21">
        <f>VLOOKUP(B128, 'Slope Ratings'!$A$2:$C$147, 2, TRUE)</f>
        <v>0</v>
      </c>
      <c r="H128" s="31">
        <v>242</v>
      </c>
      <c r="I128" s="30"/>
      <c r="J128" s="21">
        <v>42.797695500000003</v>
      </c>
      <c r="K128" s="19">
        <v>-82.601354999999998</v>
      </c>
      <c r="L128" s="21">
        <f>INDEX('course_coordinates (1)'!$D$2:$D$145,MATCH('Main Data'!N129,'course_coordinates (1)'!$A$2:$A$145,0))</f>
        <v>42.797695500000003</v>
      </c>
      <c r="M128" s="19">
        <f>INDEX('course_coordinates (1)'!$E$2:$E$145,MATCH('Main Data'!N129,'course_coordinates (1)'!$A$2:$A$145,0))</f>
        <v>-82.601354999999998</v>
      </c>
      <c r="N128" s="19" t="s">
        <v>50</v>
      </c>
    </row>
    <row r="129" spans="1:14" x14ac:dyDescent="0.3">
      <c r="A129" s="20">
        <v>70</v>
      </c>
      <c r="B129" s="31" t="s">
        <v>681</v>
      </c>
      <c r="C129" s="31" t="s">
        <v>547</v>
      </c>
      <c r="D129" s="31" t="s">
        <v>213</v>
      </c>
      <c r="E129" s="31" t="s">
        <v>15</v>
      </c>
      <c r="F129" s="46">
        <v>4</v>
      </c>
      <c r="G129" s="21">
        <f>VLOOKUP(B129, 'Slope Ratings'!$A$2:$C$147, 2, TRUE)</f>
        <v>0</v>
      </c>
      <c r="J129" s="21">
        <v>42.573853700000001</v>
      </c>
      <c r="K129" s="19">
        <v>-82.992733200000004</v>
      </c>
      <c r="L129" s="21">
        <f>INDEX('course_coordinates (1)'!$D$2:$D$145,MATCH('Main Data'!N84,'course_coordinates (1)'!$A$2:$A$145,0))</f>
        <v>42.573853700000001</v>
      </c>
      <c r="M129" s="19">
        <f>INDEX('course_coordinates (1)'!$E$2:$E$145,MATCH('Main Data'!N84,'course_coordinates (1)'!$A$2:$A$145,0))</f>
        <v>-82.992733200000004</v>
      </c>
      <c r="N129" s="19" t="s">
        <v>184</v>
      </c>
    </row>
    <row r="130" spans="1:14" x14ac:dyDescent="0.3">
      <c r="A130" s="20">
        <v>75</v>
      </c>
      <c r="B130" s="31" t="s">
        <v>552</v>
      </c>
      <c r="C130" s="31" t="s">
        <v>550</v>
      </c>
      <c r="D130" s="31" t="s">
        <v>213</v>
      </c>
      <c r="E130" s="31" t="s">
        <v>15</v>
      </c>
      <c r="F130" s="46">
        <v>4.2</v>
      </c>
      <c r="G130" s="21">
        <f>VLOOKUP(B130, 'Slope Ratings'!$A$2:$C$147, 2, TRUE)</f>
        <v>0</v>
      </c>
      <c r="H130" s="19">
        <v>914</v>
      </c>
      <c r="J130" s="21">
        <v>42.767689900000001</v>
      </c>
      <c r="K130" s="19">
        <v>-83.129025400000003</v>
      </c>
      <c r="L130" s="21">
        <f>INDEX('course_coordinates (1)'!$D$2:$D$145,MATCH('Main Data'!N115,'course_coordinates (1)'!$A$2:$A$145,0))</f>
        <v>42.767689900000001</v>
      </c>
      <c r="M130" s="19">
        <f>INDEX('course_coordinates (1)'!$E$2:$E$145,MATCH('Main Data'!N115,'course_coordinates (1)'!$A$2:$A$145,0))</f>
        <v>-83.129025400000003</v>
      </c>
      <c r="N130" s="19" t="s">
        <v>48</v>
      </c>
    </row>
    <row r="131" spans="1:14" x14ac:dyDescent="0.3">
      <c r="A131" s="20">
        <v>62</v>
      </c>
      <c r="B131" s="31" t="s">
        <v>673</v>
      </c>
      <c r="C131" s="31" t="s">
        <v>239</v>
      </c>
      <c r="D131" s="31" t="s">
        <v>213</v>
      </c>
      <c r="E131" s="31" t="s">
        <v>15</v>
      </c>
      <c r="F131" s="46">
        <v>4.4000000000000004</v>
      </c>
      <c r="G131" s="21">
        <f>VLOOKUP(B131, 'Slope Ratings'!$A$2:$C$147, 2, TRUE)</f>
        <v>0</v>
      </c>
      <c r="H131" s="31">
        <v>207</v>
      </c>
      <c r="I131" s="30"/>
      <c r="J131" s="21">
        <v>42.397154499999999</v>
      </c>
      <c r="K131" s="19">
        <v>-82.972870499999999</v>
      </c>
      <c r="L131" s="21">
        <f>INDEX('course_coordinates (1)'!$D$2:$D$145,MATCH('Main Data'!N13,'course_coordinates (1)'!$A$2:$A$145,0))</f>
        <v>42.397154499999999</v>
      </c>
      <c r="M131" s="19">
        <f>INDEX('course_coordinates (1)'!$E$2:$E$145,MATCH('Main Data'!N13,'course_coordinates (1)'!$A$2:$A$145,0))</f>
        <v>-82.972870499999999</v>
      </c>
      <c r="N131" s="19" t="s">
        <v>59</v>
      </c>
    </row>
    <row r="132" spans="1:14" x14ac:dyDescent="0.3">
      <c r="N132" s="19" t="s">
        <v>43</v>
      </c>
    </row>
    <row r="133" spans="1:14" x14ac:dyDescent="0.3">
      <c r="N133" s="19" t="s">
        <v>45</v>
      </c>
    </row>
    <row r="134" spans="1:14" x14ac:dyDescent="0.3">
      <c r="N134" s="19" t="s">
        <v>40</v>
      </c>
    </row>
    <row r="135" spans="1:14" x14ac:dyDescent="0.3">
      <c r="N135" s="19" t="s">
        <v>53</v>
      </c>
    </row>
    <row r="136" spans="1:14" x14ac:dyDescent="0.3">
      <c r="N136" s="19" t="s">
        <v>176</v>
      </c>
    </row>
    <row r="137" spans="1:14" x14ac:dyDescent="0.3">
      <c r="N137" s="19" t="s">
        <v>171</v>
      </c>
    </row>
    <row r="138" spans="1:14" x14ac:dyDescent="0.3">
      <c r="N138" s="19" t="s">
        <v>166</v>
      </c>
    </row>
    <row r="139" spans="1:14" x14ac:dyDescent="0.3">
      <c r="N139" s="19" t="s">
        <v>157</v>
      </c>
    </row>
    <row r="140" spans="1:14" x14ac:dyDescent="0.3">
      <c r="N140" s="19" t="s">
        <v>174</v>
      </c>
    </row>
    <row r="141" spans="1:14" x14ac:dyDescent="0.3">
      <c r="N141" s="19" t="s">
        <v>144</v>
      </c>
    </row>
  </sheetData>
  <autoFilter ref="A1:N141" xr:uid="{00000000-0001-0000-0000-000000000000}"/>
  <sortState xmlns:xlrd2="http://schemas.microsoft.com/office/spreadsheetml/2017/richdata2" ref="B2:M141">
    <sortCondition ref="B2:B141"/>
  </sortState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174E-1768-44A5-A469-259823CF056F}">
  <dimension ref="A1:B131"/>
  <sheetViews>
    <sheetView topLeftCell="A101" workbookViewId="0">
      <selection sqref="A1:B1"/>
    </sheetView>
  </sheetViews>
  <sheetFormatPr defaultColWidth="12.109375" defaultRowHeight="14.4" x14ac:dyDescent="0.3"/>
  <cols>
    <col min="1" max="1" width="20.109375" bestFit="1" customWidth="1"/>
    <col min="2" max="2" width="8.21875" bestFit="1" customWidth="1"/>
  </cols>
  <sheetData>
    <row r="1" spans="1:2" x14ac:dyDescent="0.3">
      <c r="A1" s="27" t="s">
        <v>692</v>
      </c>
      <c r="B1" s="27" t="s">
        <v>720</v>
      </c>
    </row>
    <row r="2" spans="1:2" x14ac:dyDescent="0.3">
      <c r="A2" t="s">
        <v>641</v>
      </c>
      <c r="B2" t="s">
        <v>64</v>
      </c>
    </row>
    <row r="3" spans="1:2" x14ac:dyDescent="0.3">
      <c r="A3" t="s">
        <v>642</v>
      </c>
      <c r="B3" t="s">
        <v>64</v>
      </c>
    </row>
    <row r="4" spans="1:2" x14ac:dyDescent="0.3">
      <c r="A4" t="s">
        <v>609</v>
      </c>
      <c r="B4" t="s">
        <v>19</v>
      </c>
    </row>
    <row r="5" spans="1:2" x14ac:dyDescent="0.3">
      <c r="A5" t="s">
        <v>618</v>
      </c>
      <c r="B5" t="s">
        <v>19</v>
      </c>
    </row>
    <row r="6" spans="1:2" x14ac:dyDescent="0.3">
      <c r="A6" t="s">
        <v>717</v>
      </c>
      <c r="B6" t="s">
        <v>64</v>
      </c>
    </row>
    <row r="7" spans="1:2" x14ac:dyDescent="0.3">
      <c r="A7" t="s">
        <v>602</v>
      </c>
      <c r="B7" t="s">
        <v>64</v>
      </c>
    </row>
    <row r="8" spans="1:2" x14ac:dyDescent="0.3">
      <c r="A8" t="s">
        <v>719</v>
      </c>
      <c r="B8" t="s">
        <v>64</v>
      </c>
    </row>
    <row r="9" spans="1:2" x14ac:dyDescent="0.3">
      <c r="A9" t="s">
        <v>643</v>
      </c>
      <c r="B9" t="s">
        <v>64</v>
      </c>
    </row>
    <row r="10" spans="1:2" x14ac:dyDescent="0.3">
      <c r="A10" t="s">
        <v>684</v>
      </c>
      <c r="B10" t="s">
        <v>213</v>
      </c>
    </row>
    <row r="11" spans="1:2" x14ac:dyDescent="0.3">
      <c r="A11" t="s">
        <v>603</v>
      </c>
      <c r="B11" t="s">
        <v>64</v>
      </c>
    </row>
    <row r="12" spans="1:2" x14ac:dyDescent="0.3">
      <c r="A12" t="s">
        <v>640</v>
      </c>
      <c r="B12" t="s">
        <v>64</v>
      </c>
    </row>
    <row r="13" spans="1:2" x14ac:dyDescent="0.3">
      <c r="A13" t="s">
        <v>619</v>
      </c>
      <c r="B13" t="s">
        <v>19</v>
      </c>
    </row>
    <row r="14" spans="1:2" x14ac:dyDescent="0.3">
      <c r="A14" t="s">
        <v>707</v>
      </c>
      <c r="B14" t="s">
        <v>266</v>
      </c>
    </row>
    <row r="15" spans="1:2" x14ac:dyDescent="0.3">
      <c r="A15" t="s">
        <v>610</v>
      </c>
      <c r="B15" t="s">
        <v>19</v>
      </c>
    </row>
    <row r="16" spans="1:2" x14ac:dyDescent="0.3">
      <c r="A16" t="s">
        <v>675</v>
      </c>
      <c r="B16" t="s">
        <v>213</v>
      </c>
    </row>
    <row r="17" spans="1:2" x14ac:dyDescent="0.3">
      <c r="A17" t="s">
        <v>620</v>
      </c>
      <c r="B17" t="s">
        <v>19</v>
      </c>
    </row>
    <row r="18" spans="1:2" x14ac:dyDescent="0.3">
      <c r="A18" t="s">
        <v>658</v>
      </c>
      <c r="B18" t="s">
        <v>64</v>
      </c>
    </row>
    <row r="19" spans="1:2" x14ac:dyDescent="0.3">
      <c r="A19" t="s">
        <v>644</v>
      </c>
      <c r="B19" t="s">
        <v>64</v>
      </c>
    </row>
    <row r="20" spans="1:2" x14ac:dyDescent="0.3">
      <c r="A20" t="s">
        <v>211</v>
      </c>
      <c r="B20" t="s">
        <v>213</v>
      </c>
    </row>
    <row r="21" spans="1:2" x14ac:dyDescent="0.3">
      <c r="A21" t="s">
        <v>604</v>
      </c>
      <c r="B21" t="s">
        <v>64</v>
      </c>
    </row>
    <row r="22" spans="1:2" x14ac:dyDescent="0.3">
      <c r="A22" t="s">
        <v>596</v>
      </c>
      <c r="B22" t="s">
        <v>19</v>
      </c>
    </row>
    <row r="23" spans="1:2" x14ac:dyDescent="0.3">
      <c r="A23" t="s">
        <v>704</v>
      </c>
      <c r="B23" t="s">
        <v>213</v>
      </c>
    </row>
    <row r="24" spans="1:2" x14ac:dyDescent="0.3">
      <c r="A24" t="s">
        <v>542</v>
      </c>
      <c r="B24" t="s">
        <v>213</v>
      </c>
    </row>
    <row r="25" spans="1:2" x14ac:dyDescent="0.3">
      <c r="A25" t="s">
        <v>216</v>
      </c>
      <c r="B25" t="s">
        <v>213</v>
      </c>
    </row>
    <row r="26" spans="1:2" x14ac:dyDescent="0.3">
      <c r="A26" t="s">
        <v>687</v>
      </c>
      <c r="B26" t="s">
        <v>213</v>
      </c>
    </row>
    <row r="27" spans="1:2" x14ac:dyDescent="0.3">
      <c r="A27" t="s">
        <v>597</v>
      </c>
      <c r="B27" t="s">
        <v>64</v>
      </c>
    </row>
    <row r="28" spans="1:2" x14ac:dyDescent="0.3">
      <c r="A28" t="s">
        <v>659</v>
      </c>
      <c r="B28" t="s">
        <v>64</v>
      </c>
    </row>
    <row r="29" spans="1:2" x14ac:dyDescent="0.3">
      <c r="A29" t="s">
        <v>105</v>
      </c>
      <c r="B29" t="s">
        <v>64</v>
      </c>
    </row>
    <row r="30" spans="1:2" x14ac:dyDescent="0.3">
      <c r="A30" t="s">
        <v>669</v>
      </c>
      <c r="B30" t="s">
        <v>213</v>
      </c>
    </row>
    <row r="31" spans="1:2" x14ac:dyDescent="0.3">
      <c r="A31" t="s">
        <v>611</v>
      </c>
      <c r="B31" t="s">
        <v>19</v>
      </c>
    </row>
    <row r="32" spans="1:2" x14ac:dyDescent="0.3">
      <c r="A32" t="s">
        <v>709</v>
      </c>
      <c r="B32" t="s">
        <v>64</v>
      </c>
    </row>
    <row r="33" spans="1:2" x14ac:dyDescent="0.3">
      <c r="A33" t="s">
        <v>625</v>
      </c>
      <c r="B33" t="s">
        <v>64</v>
      </c>
    </row>
    <row r="34" spans="1:2" x14ac:dyDescent="0.3">
      <c r="A34" t="s">
        <v>696</v>
      </c>
      <c r="B34" t="s">
        <v>64</v>
      </c>
    </row>
    <row r="35" spans="1:2" x14ac:dyDescent="0.3">
      <c r="A35" t="s">
        <v>676</v>
      </c>
      <c r="B35" t="s">
        <v>213</v>
      </c>
    </row>
    <row r="36" spans="1:2" x14ac:dyDescent="0.3">
      <c r="A36" t="s">
        <v>688</v>
      </c>
      <c r="B36" t="s">
        <v>213</v>
      </c>
    </row>
    <row r="37" spans="1:2" x14ac:dyDescent="0.3">
      <c r="A37" t="s">
        <v>626</v>
      </c>
      <c r="B37" t="s">
        <v>64</v>
      </c>
    </row>
    <row r="38" spans="1:2" x14ac:dyDescent="0.3">
      <c r="A38" t="s">
        <v>697</v>
      </c>
      <c r="B38" t="s">
        <v>213</v>
      </c>
    </row>
    <row r="39" spans="1:2" x14ac:dyDescent="0.3">
      <c r="A39" t="s">
        <v>22</v>
      </c>
      <c r="B39" t="s">
        <v>19</v>
      </c>
    </row>
    <row r="40" spans="1:2" x14ac:dyDescent="0.3">
      <c r="A40" t="s">
        <v>553</v>
      </c>
      <c r="B40" t="s">
        <v>64</v>
      </c>
    </row>
    <row r="41" spans="1:2" x14ac:dyDescent="0.3">
      <c r="A41" t="s">
        <v>608</v>
      </c>
      <c r="B41" t="s">
        <v>213</v>
      </c>
    </row>
    <row r="42" spans="1:2" x14ac:dyDescent="0.3">
      <c r="A42" t="s">
        <v>592</v>
      </c>
      <c r="B42" t="s">
        <v>19</v>
      </c>
    </row>
    <row r="43" spans="1:2" x14ac:dyDescent="0.3">
      <c r="A43" t="s">
        <v>627</v>
      </c>
      <c r="B43" t="s">
        <v>64</v>
      </c>
    </row>
    <row r="44" spans="1:2" x14ac:dyDescent="0.3">
      <c r="A44" t="s">
        <v>593</v>
      </c>
      <c r="B44" t="s">
        <v>19</v>
      </c>
    </row>
    <row r="45" spans="1:2" x14ac:dyDescent="0.3">
      <c r="A45" t="s">
        <v>556</v>
      </c>
      <c r="B45" t="s">
        <v>213</v>
      </c>
    </row>
    <row r="46" spans="1:2" x14ac:dyDescent="0.3">
      <c r="A46" t="s">
        <v>667</v>
      </c>
      <c r="B46" t="s">
        <v>213</v>
      </c>
    </row>
    <row r="47" spans="1:2" x14ac:dyDescent="0.3">
      <c r="A47" t="s">
        <v>702</v>
      </c>
      <c r="B47" t="s">
        <v>64</v>
      </c>
    </row>
    <row r="48" spans="1:2" x14ac:dyDescent="0.3">
      <c r="A48" t="s">
        <v>645</v>
      </c>
      <c r="B48" t="s">
        <v>64</v>
      </c>
    </row>
    <row r="49" spans="1:2" x14ac:dyDescent="0.3">
      <c r="A49" t="s">
        <v>621</v>
      </c>
      <c r="B49" t="s">
        <v>19</v>
      </c>
    </row>
    <row r="50" spans="1:2" x14ac:dyDescent="0.3">
      <c r="A50" t="s">
        <v>628</v>
      </c>
      <c r="B50" t="s">
        <v>64</v>
      </c>
    </row>
    <row r="51" spans="1:2" x14ac:dyDescent="0.3">
      <c r="A51" t="s">
        <v>656</v>
      </c>
      <c r="B51" t="s">
        <v>64</v>
      </c>
    </row>
    <row r="52" spans="1:2" x14ac:dyDescent="0.3">
      <c r="A52" t="s">
        <v>622</v>
      </c>
      <c r="B52" t="s">
        <v>19</v>
      </c>
    </row>
    <row r="53" spans="1:2" x14ac:dyDescent="0.3">
      <c r="A53" t="s">
        <v>646</v>
      </c>
      <c r="B53" t="s">
        <v>64</v>
      </c>
    </row>
    <row r="54" spans="1:2" x14ac:dyDescent="0.3">
      <c r="A54" t="s">
        <v>705</v>
      </c>
      <c r="B54" t="s">
        <v>213</v>
      </c>
    </row>
    <row r="55" spans="1:2" x14ac:dyDescent="0.3">
      <c r="A55" t="s">
        <v>677</v>
      </c>
      <c r="B55" t="s">
        <v>213</v>
      </c>
    </row>
    <row r="56" spans="1:2" x14ac:dyDescent="0.3">
      <c r="A56" t="s">
        <v>647</v>
      </c>
      <c r="B56" t="s">
        <v>64</v>
      </c>
    </row>
    <row r="57" spans="1:2" x14ac:dyDescent="0.3">
      <c r="A57" t="s">
        <v>698</v>
      </c>
      <c r="B57" t="s">
        <v>64</v>
      </c>
    </row>
    <row r="58" spans="1:2" x14ac:dyDescent="0.3">
      <c r="A58" t="s">
        <v>682</v>
      </c>
      <c r="B58" t="s">
        <v>213</v>
      </c>
    </row>
    <row r="59" spans="1:2" x14ac:dyDescent="0.3">
      <c r="A59" t="s">
        <v>601</v>
      </c>
      <c r="B59" t="s">
        <v>64</v>
      </c>
    </row>
    <row r="60" spans="1:2" x14ac:dyDescent="0.3">
      <c r="A60" t="s">
        <v>598</v>
      </c>
      <c r="B60" t="s">
        <v>64</v>
      </c>
    </row>
    <row r="61" spans="1:2" x14ac:dyDescent="0.3">
      <c r="A61" t="s">
        <v>670</v>
      </c>
      <c r="B61" t="s">
        <v>213</v>
      </c>
    </row>
    <row r="62" spans="1:2" x14ac:dyDescent="0.3">
      <c r="A62" t="s">
        <v>699</v>
      </c>
      <c r="B62" t="s">
        <v>213</v>
      </c>
    </row>
    <row r="63" spans="1:2" x14ac:dyDescent="0.3">
      <c r="A63" t="s">
        <v>660</v>
      </c>
      <c r="B63" t="s">
        <v>64</v>
      </c>
    </row>
    <row r="64" spans="1:2" x14ac:dyDescent="0.3">
      <c r="A64" t="s">
        <v>161</v>
      </c>
      <c r="B64" t="s">
        <v>64</v>
      </c>
    </row>
    <row r="65" spans="1:2" x14ac:dyDescent="0.3">
      <c r="A65" t="s">
        <v>657</v>
      </c>
      <c r="B65" t="s">
        <v>64</v>
      </c>
    </row>
    <row r="66" spans="1:2" x14ac:dyDescent="0.3">
      <c r="A66" t="s">
        <v>700</v>
      </c>
      <c r="B66" t="s">
        <v>213</v>
      </c>
    </row>
    <row r="67" spans="1:2" x14ac:dyDescent="0.3">
      <c r="A67" t="s">
        <v>648</v>
      </c>
      <c r="B67" t="s">
        <v>64</v>
      </c>
    </row>
    <row r="68" spans="1:2" x14ac:dyDescent="0.3">
      <c r="A68" t="s">
        <v>674</v>
      </c>
      <c r="B68" t="s">
        <v>213</v>
      </c>
    </row>
    <row r="69" spans="1:2" x14ac:dyDescent="0.3">
      <c r="A69" t="s">
        <v>612</v>
      </c>
      <c r="B69" t="s">
        <v>19</v>
      </c>
    </row>
    <row r="70" spans="1:2" x14ac:dyDescent="0.3">
      <c r="A70" t="s">
        <v>661</v>
      </c>
      <c r="B70" t="s">
        <v>64</v>
      </c>
    </row>
    <row r="71" spans="1:2" x14ac:dyDescent="0.3">
      <c r="A71" t="s">
        <v>613</v>
      </c>
      <c r="B71" t="s">
        <v>19</v>
      </c>
    </row>
    <row r="72" spans="1:2" x14ac:dyDescent="0.3">
      <c r="A72" t="s">
        <v>701</v>
      </c>
      <c r="B72" t="s">
        <v>213</v>
      </c>
    </row>
    <row r="73" spans="1:2" x14ac:dyDescent="0.3">
      <c r="A73" t="s">
        <v>649</v>
      </c>
      <c r="B73" t="s">
        <v>64</v>
      </c>
    </row>
    <row r="74" spans="1:2" x14ac:dyDescent="0.3">
      <c r="A74" t="s">
        <v>711</v>
      </c>
      <c r="B74" t="s">
        <v>64</v>
      </c>
    </row>
    <row r="75" spans="1:2" x14ac:dyDescent="0.3">
      <c r="A75" t="s">
        <v>689</v>
      </c>
      <c r="B75" t="s">
        <v>213</v>
      </c>
    </row>
    <row r="76" spans="1:2" x14ac:dyDescent="0.3">
      <c r="A76" t="s">
        <v>599</v>
      </c>
      <c r="B76" t="s">
        <v>64</v>
      </c>
    </row>
    <row r="77" spans="1:2" x14ac:dyDescent="0.3">
      <c r="A77" t="s">
        <v>629</v>
      </c>
      <c r="B77" t="s">
        <v>64</v>
      </c>
    </row>
    <row r="78" spans="1:2" x14ac:dyDescent="0.3">
      <c r="A78" t="s">
        <v>630</v>
      </c>
      <c r="B78" t="s">
        <v>64</v>
      </c>
    </row>
    <row r="79" spans="1:2" x14ac:dyDescent="0.3">
      <c r="A79" t="s">
        <v>650</v>
      </c>
      <c r="B79" t="s">
        <v>64</v>
      </c>
    </row>
    <row r="80" spans="1:2" x14ac:dyDescent="0.3">
      <c r="A80" t="s">
        <v>637</v>
      </c>
      <c r="B80" t="s">
        <v>64</v>
      </c>
    </row>
    <row r="81" spans="1:2" x14ac:dyDescent="0.3">
      <c r="A81" t="s">
        <v>671</v>
      </c>
      <c r="B81" t="s">
        <v>213</v>
      </c>
    </row>
    <row r="82" spans="1:2" x14ac:dyDescent="0.3">
      <c r="A82" t="s">
        <v>651</v>
      </c>
      <c r="B82" t="s">
        <v>64</v>
      </c>
    </row>
    <row r="83" spans="1:2" x14ac:dyDescent="0.3">
      <c r="A83" t="s">
        <v>631</v>
      </c>
      <c r="B83" t="s">
        <v>64</v>
      </c>
    </row>
    <row r="84" spans="1:2" x14ac:dyDescent="0.3">
      <c r="A84" t="s">
        <v>662</v>
      </c>
      <c r="B84" t="s">
        <v>64</v>
      </c>
    </row>
    <row r="85" spans="1:2" x14ac:dyDescent="0.3">
      <c r="A85" t="s">
        <v>614</v>
      </c>
      <c r="B85" t="s">
        <v>19</v>
      </c>
    </row>
    <row r="86" spans="1:2" x14ac:dyDescent="0.3">
      <c r="A86" t="s">
        <v>615</v>
      </c>
      <c r="B86" t="s">
        <v>19</v>
      </c>
    </row>
    <row r="87" spans="1:2" x14ac:dyDescent="0.3">
      <c r="A87" t="s">
        <v>632</v>
      </c>
      <c r="B87" t="s">
        <v>64</v>
      </c>
    </row>
    <row r="88" spans="1:2" x14ac:dyDescent="0.3">
      <c r="A88" t="s">
        <v>710</v>
      </c>
      <c r="B88" t="s">
        <v>64</v>
      </c>
    </row>
    <row r="89" spans="1:2" x14ac:dyDescent="0.3">
      <c r="A89" t="s">
        <v>638</v>
      </c>
      <c r="B89" t="s">
        <v>64</v>
      </c>
    </row>
    <row r="90" spans="1:2" x14ac:dyDescent="0.3">
      <c r="A90" t="s">
        <v>703</v>
      </c>
      <c r="B90" t="s">
        <v>64</v>
      </c>
    </row>
    <row r="91" spans="1:2" x14ac:dyDescent="0.3">
      <c r="A91" t="s">
        <v>594</v>
      </c>
      <c r="B91" t="s">
        <v>19</v>
      </c>
    </row>
    <row r="92" spans="1:2" x14ac:dyDescent="0.3">
      <c r="A92" t="s">
        <v>665</v>
      </c>
      <c r="B92" t="s">
        <v>64</v>
      </c>
    </row>
    <row r="93" spans="1:2" x14ac:dyDescent="0.3">
      <c r="A93" t="s">
        <v>633</v>
      </c>
      <c r="B93" t="s">
        <v>64</v>
      </c>
    </row>
    <row r="94" spans="1:2" x14ac:dyDescent="0.3">
      <c r="A94" t="s">
        <v>672</v>
      </c>
      <c r="B94" t="s">
        <v>213</v>
      </c>
    </row>
    <row r="95" spans="1:2" x14ac:dyDescent="0.3">
      <c r="A95" t="s">
        <v>678</v>
      </c>
      <c r="B95" t="s">
        <v>213</v>
      </c>
    </row>
    <row r="96" spans="1:2" x14ac:dyDescent="0.3">
      <c r="A96" t="s">
        <v>95</v>
      </c>
      <c r="B96" t="s">
        <v>64</v>
      </c>
    </row>
    <row r="97" spans="1:2" x14ac:dyDescent="0.3">
      <c r="A97" t="s">
        <v>685</v>
      </c>
      <c r="B97" t="s">
        <v>213</v>
      </c>
    </row>
    <row r="98" spans="1:2" x14ac:dyDescent="0.3">
      <c r="A98" t="s">
        <v>663</v>
      </c>
      <c r="B98" t="s">
        <v>64</v>
      </c>
    </row>
    <row r="99" spans="1:2" x14ac:dyDescent="0.3">
      <c r="A99" t="s">
        <v>595</v>
      </c>
      <c r="B99" t="s">
        <v>19</v>
      </c>
    </row>
    <row r="100" spans="1:2" x14ac:dyDescent="0.3">
      <c r="A100" t="s">
        <v>600</v>
      </c>
      <c r="B100" t="s">
        <v>64</v>
      </c>
    </row>
    <row r="101" spans="1:2" x14ac:dyDescent="0.3">
      <c r="A101" t="s">
        <v>652</v>
      </c>
      <c r="B101" t="s">
        <v>64</v>
      </c>
    </row>
    <row r="102" spans="1:2" x14ac:dyDescent="0.3">
      <c r="A102" t="s">
        <v>653</v>
      </c>
      <c r="B102" t="s">
        <v>64</v>
      </c>
    </row>
    <row r="103" spans="1:2" x14ac:dyDescent="0.3">
      <c r="A103" t="s">
        <v>606</v>
      </c>
      <c r="B103" t="s">
        <v>64</v>
      </c>
    </row>
    <row r="104" spans="1:2" x14ac:dyDescent="0.3">
      <c r="A104" t="s">
        <v>607</v>
      </c>
      <c r="B104" t="s">
        <v>213</v>
      </c>
    </row>
    <row r="105" spans="1:2" x14ac:dyDescent="0.3">
      <c r="A105" t="s">
        <v>605</v>
      </c>
      <c r="B105" t="s">
        <v>64</v>
      </c>
    </row>
    <row r="106" spans="1:2" x14ac:dyDescent="0.3">
      <c r="A106" t="s">
        <v>654</v>
      </c>
      <c r="B106" t="s">
        <v>64</v>
      </c>
    </row>
    <row r="107" spans="1:2" x14ac:dyDescent="0.3">
      <c r="A107" t="s">
        <v>616</v>
      </c>
      <c r="B107" t="s">
        <v>19</v>
      </c>
    </row>
    <row r="108" spans="1:2" x14ac:dyDescent="0.3">
      <c r="A108" t="s">
        <v>634</v>
      </c>
      <c r="B108" t="s">
        <v>64</v>
      </c>
    </row>
    <row r="109" spans="1:2" x14ac:dyDescent="0.3">
      <c r="A109" t="s">
        <v>623</v>
      </c>
      <c r="B109" t="s">
        <v>19</v>
      </c>
    </row>
    <row r="110" spans="1:2" x14ac:dyDescent="0.3">
      <c r="A110" t="s">
        <v>664</v>
      </c>
      <c r="B110" t="s">
        <v>64</v>
      </c>
    </row>
    <row r="111" spans="1:2" x14ac:dyDescent="0.3">
      <c r="A111" t="s">
        <v>639</v>
      </c>
      <c r="B111" t="s">
        <v>64</v>
      </c>
    </row>
    <row r="112" spans="1:2" x14ac:dyDescent="0.3">
      <c r="A112" t="s">
        <v>708</v>
      </c>
      <c r="B112" t="s">
        <v>64</v>
      </c>
    </row>
    <row r="113" spans="1:2" x14ac:dyDescent="0.3">
      <c r="A113" t="s">
        <v>683</v>
      </c>
      <c r="B113" t="s">
        <v>213</v>
      </c>
    </row>
    <row r="114" spans="1:2" x14ac:dyDescent="0.3">
      <c r="A114" t="s">
        <v>544</v>
      </c>
      <c r="B114" t="s">
        <v>213</v>
      </c>
    </row>
    <row r="115" spans="1:2" x14ac:dyDescent="0.3">
      <c r="A115" t="s">
        <v>655</v>
      </c>
      <c r="B115" t="s">
        <v>64</v>
      </c>
    </row>
    <row r="116" spans="1:2" x14ac:dyDescent="0.3">
      <c r="A116" t="s">
        <v>624</v>
      </c>
      <c r="B116" t="s">
        <v>19</v>
      </c>
    </row>
    <row r="117" spans="1:2" x14ac:dyDescent="0.3">
      <c r="A117" t="s">
        <v>635</v>
      </c>
      <c r="B117" t="s">
        <v>64</v>
      </c>
    </row>
    <row r="118" spans="1:2" x14ac:dyDescent="0.3">
      <c r="A118" t="s">
        <v>223</v>
      </c>
      <c r="B118" t="s">
        <v>213</v>
      </c>
    </row>
    <row r="119" spans="1:2" x14ac:dyDescent="0.3">
      <c r="A119" t="s">
        <v>666</v>
      </c>
      <c r="B119" t="s">
        <v>64</v>
      </c>
    </row>
    <row r="120" spans="1:2" x14ac:dyDescent="0.3">
      <c r="A120" t="s">
        <v>100</v>
      </c>
      <c r="B120" t="s">
        <v>64</v>
      </c>
    </row>
    <row r="121" spans="1:2" x14ac:dyDescent="0.3">
      <c r="A121" t="s">
        <v>636</v>
      </c>
      <c r="B121" t="s">
        <v>64</v>
      </c>
    </row>
    <row r="122" spans="1:2" x14ac:dyDescent="0.3">
      <c r="A122" t="s">
        <v>617</v>
      </c>
      <c r="B122" t="s">
        <v>19</v>
      </c>
    </row>
    <row r="123" spans="1:2" x14ac:dyDescent="0.3">
      <c r="A123" t="s">
        <v>679</v>
      </c>
      <c r="B123" t="s">
        <v>213</v>
      </c>
    </row>
    <row r="124" spans="1:2" x14ac:dyDescent="0.3">
      <c r="A124" t="s">
        <v>686</v>
      </c>
      <c r="B124" t="s">
        <v>213</v>
      </c>
    </row>
    <row r="125" spans="1:2" x14ac:dyDescent="0.3">
      <c r="A125" t="s">
        <v>668</v>
      </c>
      <c r="B125" t="s">
        <v>213</v>
      </c>
    </row>
    <row r="126" spans="1:2" x14ac:dyDescent="0.3">
      <c r="A126" t="s">
        <v>706</v>
      </c>
      <c r="B126" t="s">
        <v>213</v>
      </c>
    </row>
    <row r="127" spans="1:2" x14ac:dyDescent="0.3">
      <c r="A127" t="s">
        <v>680</v>
      </c>
      <c r="B127" t="s">
        <v>213</v>
      </c>
    </row>
    <row r="128" spans="1:2" x14ac:dyDescent="0.3">
      <c r="A128" t="s">
        <v>691</v>
      </c>
      <c r="B128" t="s">
        <v>64</v>
      </c>
    </row>
    <row r="129" spans="1:2" x14ac:dyDescent="0.3">
      <c r="A129" t="s">
        <v>681</v>
      </c>
      <c r="B129" t="s">
        <v>213</v>
      </c>
    </row>
    <row r="130" spans="1:2" x14ac:dyDescent="0.3">
      <c r="A130" t="s">
        <v>552</v>
      </c>
      <c r="B130" t="s">
        <v>213</v>
      </c>
    </row>
    <row r="131" spans="1:2" x14ac:dyDescent="0.3">
      <c r="A131" t="s">
        <v>673</v>
      </c>
      <c r="B131" t="s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9286-8838-4CA7-A3B2-144DA21D268E}">
  <dimension ref="A1:F145"/>
  <sheetViews>
    <sheetView workbookViewId="0">
      <selection activeCell="D15" sqref="D15"/>
    </sheetView>
  </sheetViews>
  <sheetFormatPr defaultRowHeight="14.4" x14ac:dyDescent="0.3"/>
  <cols>
    <col min="1" max="1" width="30.77734375" bestFit="1" customWidth="1"/>
    <col min="2" max="2" width="22.21875" bestFit="1" customWidth="1"/>
    <col min="3" max="3" width="10.44140625" bestFit="1" customWidth="1"/>
    <col min="4" max="4" width="11" bestFit="1" customWidth="1"/>
    <col min="5" max="5" width="11.6640625" bestFit="1" customWidth="1"/>
    <col min="6" max="6" width="46.109375" bestFit="1" customWidth="1"/>
  </cols>
  <sheetData>
    <row r="1" spans="1:6" s="27" customFormat="1" x14ac:dyDescent="0.3">
      <c r="A1" s="27" t="s">
        <v>1</v>
      </c>
      <c r="B1" s="27" t="s">
        <v>2</v>
      </c>
      <c r="C1" s="27" t="s">
        <v>3</v>
      </c>
      <c r="D1" s="27" t="s">
        <v>279</v>
      </c>
      <c r="E1" s="27" t="s">
        <v>280</v>
      </c>
      <c r="F1" s="27" t="s">
        <v>14</v>
      </c>
    </row>
    <row r="2" spans="1:6" x14ac:dyDescent="0.3">
      <c r="A2" t="s">
        <v>17</v>
      </c>
      <c r="B2" t="s">
        <v>18</v>
      </c>
      <c r="C2" t="s">
        <v>19</v>
      </c>
      <c r="D2">
        <v>42.705366599999998</v>
      </c>
      <c r="E2">
        <v>-82.747158600000006</v>
      </c>
    </row>
    <row r="3" spans="1:6" x14ac:dyDescent="0.3">
      <c r="A3" t="s">
        <v>20</v>
      </c>
      <c r="B3" t="s">
        <v>21</v>
      </c>
      <c r="C3" t="s">
        <v>19</v>
      </c>
      <c r="D3">
        <v>42.582209499999998</v>
      </c>
      <c r="E3">
        <v>-82.942196899999999</v>
      </c>
    </row>
    <row r="4" spans="1:6" x14ac:dyDescent="0.3">
      <c r="A4" t="s">
        <v>22</v>
      </c>
      <c r="B4" t="s">
        <v>23</v>
      </c>
      <c r="C4" t="s">
        <v>19</v>
      </c>
      <c r="D4">
        <v>42.7353138</v>
      </c>
      <c r="E4">
        <v>-83.038511700000001</v>
      </c>
    </row>
    <row r="5" spans="1:6" x14ac:dyDescent="0.3">
      <c r="A5" t="s">
        <v>24</v>
      </c>
      <c r="B5" t="s">
        <v>23</v>
      </c>
      <c r="C5" t="s">
        <v>19</v>
      </c>
      <c r="D5">
        <v>42.792331599999997</v>
      </c>
      <c r="E5">
        <v>-83.057266200000001</v>
      </c>
    </row>
    <row r="6" spans="1:6" x14ac:dyDescent="0.3">
      <c r="A6" t="s">
        <v>589</v>
      </c>
      <c r="B6" t="s">
        <v>26</v>
      </c>
      <c r="C6" t="s">
        <v>19</v>
      </c>
      <c r="D6">
        <v>42.537973299999997</v>
      </c>
      <c r="E6">
        <v>-83.007484899999994</v>
      </c>
    </row>
    <row r="7" spans="1:6" x14ac:dyDescent="0.3">
      <c r="A7" t="s">
        <v>591</v>
      </c>
      <c r="B7" t="s">
        <v>28</v>
      </c>
      <c r="C7" t="s">
        <v>19</v>
      </c>
      <c r="D7">
        <v>42.723056700000001</v>
      </c>
      <c r="E7">
        <v>-82.757110499999996</v>
      </c>
    </row>
    <row r="8" spans="1:6" x14ac:dyDescent="0.3">
      <c r="A8" t="s">
        <v>29</v>
      </c>
      <c r="B8" t="s">
        <v>30</v>
      </c>
      <c r="C8" t="s">
        <v>19</v>
      </c>
      <c r="D8">
        <v>42.790962200000003</v>
      </c>
      <c r="E8">
        <v>-82.959464999999994</v>
      </c>
    </row>
    <row r="9" spans="1:6" x14ac:dyDescent="0.3">
      <c r="A9" t="s">
        <v>31</v>
      </c>
      <c r="B9" t="s">
        <v>26</v>
      </c>
      <c r="C9" t="s">
        <v>19</v>
      </c>
      <c r="D9">
        <v>42.573853700000001</v>
      </c>
      <c r="E9">
        <v>-82.992733200000004</v>
      </c>
    </row>
    <row r="10" spans="1:6" x14ac:dyDescent="0.3">
      <c r="A10" t="s">
        <v>32</v>
      </c>
      <c r="B10" t="s">
        <v>26</v>
      </c>
      <c r="C10" t="s">
        <v>19</v>
      </c>
      <c r="D10">
        <v>42.578480399999997</v>
      </c>
      <c r="E10">
        <v>-82.986638299999996</v>
      </c>
    </row>
    <row r="11" spans="1:6" x14ac:dyDescent="0.3">
      <c r="A11" t="s">
        <v>33</v>
      </c>
      <c r="B11" t="s">
        <v>34</v>
      </c>
      <c r="C11" t="s">
        <v>19</v>
      </c>
      <c r="D11">
        <v>42.717413899999997</v>
      </c>
      <c r="E11">
        <v>-83.108169599999997</v>
      </c>
    </row>
    <row r="12" spans="1:6" x14ac:dyDescent="0.3">
      <c r="A12" t="s">
        <v>35</v>
      </c>
      <c r="B12" t="s">
        <v>36</v>
      </c>
      <c r="C12" t="s">
        <v>19</v>
      </c>
      <c r="D12">
        <v>42.548213500000003</v>
      </c>
      <c r="E12">
        <v>-82.958743299999995</v>
      </c>
    </row>
    <row r="13" spans="1:6" x14ac:dyDescent="0.3">
      <c r="A13" t="s">
        <v>37</v>
      </c>
      <c r="B13" t="s">
        <v>38</v>
      </c>
      <c r="C13" t="s">
        <v>19</v>
      </c>
      <c r="D13">
        <v>42.601828099999999</v>
      </c>
      <c r="E13">
        <v>-82.809727199999998</v>
      </c>
    </row>
    <row r="14" spans="1:6" x14ac:dyDescent="0.3">
      <c r="A14" t="s">
        <v>61</v>
      </c>
      <c r="B14" t="s">
        <v>39</v>
      </c>
      <c r="C14" t="s">
        <v>19</v>
      </c>
      <c r="D14">
        <v>42.589495300000003</v>
      </c>
      <c r="E14">
        <v>-82.861243900000005</v>
      </c>
    </row>
    <row r="15" spans="1:6" x14ac:dyDescent="0.3">
      <c r="A15" t="s">
        <v>62</v>
      </c>
      <c r="B15" t="s">
        <v>63</v>
      </c>
      <c r="C15" t="s">
        <v>64</v>
      </c>
      <c r="D15">
        <v>42.533126799999998</v>
      </c>
      <c r="E15">
        <v>-83.234329200000005</v>
      </c>
    </row>
    <row r="16" spans="1:6" x14ac:dyDescent="0.3">
      <c r="A16" t="s">
        <v>70</v>
      </c>
      <c r="B16" t="s">
        <v>71</v>
      </c>
      <c r="C16" t="s">
        <v>64</v>
      </c>
      <c r="D16">
        <v>42.589847800000001</v>
      </c>
      <c r="E16">
        <v>-83.450099300000005</v>
      </c>
    </row>
    <row r="17" spans="1:5" x14ac:dyDescent="0.3">
      <c r="A17" t="s">
        <v>72</v>
      </c>
      <c r="B17" t="s">
        <v>73</v>
      </c>
      <c r="C17" t="s">
        <v>64</v>
      </c>
      <c r="D17">
        <v>42.596913999999998</v>
      </c>
      <c r="E17">
        <v>-83.297173999999998</v>
      </c>
    </row>
    <row r="18" spans="1:5" x14ac:dyDescent="0.3">
      <c r="A18" t="s">
        <v>74</v>
      </c>
      <c r="B18" t="s">
        <v>75</v>
      </c>
      <c r="C18" t="s">
        <v>64</v>
      </c>
      <c r="D18">
        <v>42.5195905</v>
      </c>
      <c r="E18">
        <v>-83.323321899999996</v>
      </c>
    </row>
    <row r="19" spans="1:5" x14ac:dyDescent="0.3">
      <c r="A19" t="s">
        <v>76</v>
      </c>
      <c r="B19" t="s">
        <v>77</v>
      </c>
      <c r="C19" t="s">
        <v>64</v>
      </c>
      <c r="D19">
        <v>42.685236600000003</v>
      </c>
      <c r="E19">
        <v>-83.149237499999998</v>
      </c>
    </row>
    <row r="20" spans="1:5" x14ac:dyDescent="0.3">
      <c r="A20" t="s">
        <v>78</v>
      </c>
      <c r="B20" t="s">
        <v>67</v>
      </c>
      <c r="C20" t="s">
        <v>64</v>
      </c>
      <c r="D20">
        <v>42.608721000000003</v>
      </c>
      <c r="E20">
        <v>-83.231900100000004</v>
      </c>
    </row>
    <row r="21" spans="1:5" x14ac:dyDescent="0.3">
      <c r="A21" t="s">
        <v>79</v>
      </c>
      <c r="B21" t="s">
        <v>80</v>
      </c>
      <c r="C21" t="s">
        <v>64</v>
      </c>
      <c r="D21">
        <v>42.788350299999998</v>
      </c>
      <c r="E21">
        <v>-83.267534999999995</v>
      </c>
    </row>
    <row r="22" spans="1:5" x14ac:dyDescent="0.3">
      <c r="A22" t="s">
        <v>100</v>
      </c>
      <c r="B22" t="s">
        <v>73</v>
      </c>
      <c r="C22" t="s">
        <v>64</v>
      </c>
      <c r="D22">
        <v>42.579820900000001</v>
      </c>
      <c r="E22">
        <v>-83.316154100000006</v>
      </c>
    </row>
    <row r="23" spans="1:5" x14ac:dyDescent="0.3">
      <c r="A23" t="s">
        <v>102</v>
      </c>
      <c r="B23" t="s">
        <v>103</v>
      </c>
      <c r="C23" t="s">
        <v>64</v>
      </c>
      <c r="D23">
        <v>42.473851000000003</v>
      </c>
      <c r="E23">
        <v>-83.568365200000002</v>
      </c>
    </row>
    <row r="24" spans="1:5" x14ac:dyDescent="0.3">
      <c r="A24" t="s">
        <v>108</v>
      </c>
      <c r="B24" t="s">
        <v>82</v>
      </c>
      <c r="C24" t="s">
        <v>64</v>
      </c>
      <c r="D24">
        <v>42.582023599999999</v>
      </c>
      <c r="E24">
        <v>-83.439877199999998</v>
      </c>
    </row>
    <row r="25" spans="1:5" x14ac:dyDescent="0.3">
      <c r="A25" t="s">
        <v>109</v>
      </c>
      <c r="B25" t="s">
        <v>71</v>
      </c>
      <c r="C25" t="s">
        <v>64</v>
      </c>
      <c r="D25">
        <v>42.608392500000001</v>
      </c>
      <c r="E25">
        <v>-83.532567599999993</v>
      </c>
    </row>
    <row r="26" spans="1:5" x14ac:dyDescent="0.3">
      <c r="A26" t="s">
        <v>110</v>
      </c>
      <c r="B26" t="s">
        <v>111</v>
      </c>
      <c r="C26" t="s">
        <v>64</v>
      </c>
      <c r="D26">
        <v>42.751563699999998</v>
      </c>
      <c r="E26">
        <v>-83.134467900000004</v>
      </c>
    </row>
    <row r="27" spans="1:5" x14ac:dyDescent="0.3">
      <c r="A27" t="s">
        <v>112</v>
      </c>
      <c r="B27" t="s">
        <v>113</v>
      </c>
      <c r="C27" t="s">
        <v>64</v>
      </c>
      <c r="D27">
        <v>42.834254000000001</v>
      </c>
      <c r="E27">
        <v>-83.277655999999993</v>
      </c>
    </row>
    <row r="28" spans="1:5" x14ac:dyDescent="0.3">
      <c r="A28" t="s">
        <v>114</v>
      </c>
      <c r="B28" t="s">
        <v>115</v>
      </c>
      <c r="C28" t="s">
        <v>64</v>
      </c>
      <c r="D28">
        <v>42.618441300000001</v>
      </c>
      <c r="E28">
        <v>-83.525782899999996</v>
      </c>
    </row>
    <row r="29" spans="1:5" x14ac:dyDescent="0.3">
      <c r="A29" t="s">
        <v>116</v>
      </c>
      <c r="B29" t="s">
        <v>113</v>
      </c>
      <c r="C29" t="s">
        <v>64</v>
      </c>
      <c r="D29">
        <v>42.827319500000002</v>
      </c>
      <c r="E29">
        <v>-83.182911899999993</v>
      </c>
    </row>
    <row r="30" spans="1:5" x14ac:dyDescent="0.3">
      <c r="A30" t="s">
        <v>117</v>
      </c>
      <c r="B30" t="s">
        <v>118</v>
      </c>
      <c r="C30" t="s">
        <v>64</v>
      </c>
      <c r="D30">
        <v>42.497571499999999</v>
      </c>
      <c r="E30">
        <v>-83.612395699999993</v>
      </c>
    </row>
    <row r="31" spans="1:5" x14ac:dyDescent="0.3">
      <c r="A31" t="s">
        <v>119</v>
      </c>
      <c r="B31" t="s">
        <v>120</v>
      </c>
      <c r="C31" t="s">
        <v>64</v>
      </c>
      <c r="D31">
        <v>42.688152500000001</v>
      </c>
      <c r="E31">
        <v>-83.256309700000003</v>
      </c>
    </row>
    <row r="32" spans="1:5" x14ac:dyDescent="0.3">
      <c r="A32" t="s">
        <v>121</v>
      </c>
      <c r="B32" t="s">
        <v>122</v>
      </c>
      <c r="C32" t="s">
        <v>64</v>
      </c>
      <c r="D32">
        <v>42.719551000000003</v>
      </c>
      <c r="E32">
        <v>-83.390629000000004</v>
      </c>
    </row>
    <row r="33" spans="1:5" x14ac:dyDescent="0.3">
      <c r="A33" t="s">
        <v>123</v>
      </c>
      <c r="B33" t="s">
        <v>124</v>
      </c>
      <c r="C33" t="s">
        <v>64</v>
      </c>
      <c r="D33">
        <v>42.778806899999999</v>
      </c>
      <c r="E33">
        <v>-83.517701599999995</v>
      </c>
    </row>
    <row r="34" spans="1:5" x14ac:dyDescent="0.3">
      <c r="A34" t="s">
        <v>125</v>
      </c>
      <c r="B34" t="s">
        <v>126</v>
      </c>
      <c r="C34" t="s">
        <v>64</v>
      </c>
      <c r="D34">
        <v>42.680746200000002</v>
      </c>
      <c r="E34">
        <v>-83.585255599999996</v>
      </c>
    </row>
    <row r="35" spans="1:5" x14ac:dyDescent="0.3">
      <c r="A35" t="s">
        <v>127</v>
      </c>
      <c r="B35" t="s">
        <v>115</v>
      </c>
      <c r="C35" t="s">
        <v>64</v>
      </c>
      <c r="D35">
        <v>42.701270600000001</v>
      </c>
      <c r="E35">
        <v>-83.489377399999995</v>
      </c>
    </row>
    <row r="36" spans="1:5" x14ac:dyDescent="0.3">
      <c r="A36" t="s">
        <v>128</v>
      </c>
      <c r="B36" t="s">
        <v>129</v>
      </c>
      <c r="C36" t="s">
        <v>64</v>
      </c>
      <c r="D36">
        <v>42.519966099999998</v>
      </c>
      <c r="E36">
        <v>-83.570589400000003</v>
      </c>
    </row>
    <row r="37" spans="1:5" x14ac:dyDescent="0.3">
      <c r="A37" t="s">
        <v>130</v>
      </c>
      <c r="B37" t="s">
        <v>131</v>
      </c>
      <c r="C37" t="s">
        <v>64</v>
      </c>
      <c r="D37">
        <v>42.588615500000003</v>
      </c>
      <c r="E37">
        <v>-83.629963700000005</v>
      </c>
    </row>
    <row r="38" spans="1:5" x14ac:dyDescent="0.3">
      <c r="A38" t="s">
        <v>132</v>
      </c>
      <c r="B38" t="s">
        <v>111</v>
      </c>
      <c r="C38" t="s">
        <v>64</v>
      </c>
      <c r="D38">
        <v>42.7707932</v>
      </c>
      <c r="E38">
        <v>-83.157997199999997</v>
      </c>
    </row>
    <row r="39" spans="1:5" x14ac:dyDescent="0.3">
      <c r="A39" t="s">
        <v>133</v>
      </c>
      <c r="B39" t="s">
        <v>113</v>
      </c>
      <c r="C39" t="s">
        <v>64</v>
      </c>
      <c r="D39">
        <v>42.806509400000003</v>
      </c>
      <c r="E39">
        <v>-83.244294400000001</v>
      </c>
    </row>
    <row r="40" spans="1:5" x14ac:dyDescent="0.3">
      <c r="A40" t="s">
        <v>134</v>
      </c>
      <c r="B40" t="s">
        <v>122</v>
      </c>
      <c r="C40" t="s">
        <v>64</v>
      </c>
      <c r="D40">
        <v>42.740671200000001</v>
      </c>
      <c r="E40">
        <v>-83.371979499999995</v>
      </c>
    </row>
    <row r="41" spans="1:5" x14ac:dyDescent="0.3">
      <c r="A41" t="s">
        <v>135</v>
      </c>
      <c r="B41" t="s">
        <v>136</v>
      </c>
      <c r="C41" t="s">
        <v>64</v>
      </c>
      <c r="D41">
        <v>42.637783400000004</v>
      </c>
      <c r="E41">
        <v>-83.371831700000001</v>
      </c>
    </row>
    <row r="42" spans="1:5" x14ac:dyDescent="0.3">
      <c r="A42" t="s">
        <v>138</v>
      </c>
      <c r="B42" t="s">
        <v>122</v>
      </c>
      <c r="C42" t="s">
        <v>64</v>
      </c>
      <c r="D42">
        <v>42.7295534</v>
      </c>
      <c r="E42">
        <v>-83.464304999999996</v>
      </c>
    </row>
    <row r="43" spans="1:5" x14ac:dyDescent="0.3">
      <c r="A43" t="s">
        <v>139</v>
      </c>
      <c r="B43" t="s">
        <v>136</v>
      </c>
      <c r="C43" t="s">
        <v>64</v>
      </c>
      <c r="D43">
        <v>42.682091</v>
      </c>
      <c r="E43">
        <v>-83.338667999999998</v>
      </c>
    </row>
    <row r="44" spans="1:5" x14ac:dyDescent="0.3">
      <c r="A44" t="s">
        <v>140</v>
      </c>
      <c r="B44" t="s">
        <v>141</v>
      </c>
      <c r="C44" t="s">
        <v>64</v>
      </c>
      <c r="D44">
        <v>42.7458934</v>
      </c>
      <c r="E44">
        <v>-83.530673500000006</v>
      </c>
    </row>
    <row r="45" spans="1:5" x14ac:dyDescent="0.3">
      <c r="A45" t="s">
        <v>142</v>
      </c>
      <c r="B45" t="s">
        <v>143</v>
      </c>
      <c r="C45" t="s">
        <v>64</v>
      </c>
      <c r="D45">
        <v>42.618541399999998</v>
      </c>
      <c r="E45">
        <v>-83.302098200000003</v>
      </c>
    </row>
    <row r="46" spans="1:5" x14ac:dyDescent="0.3">
      <c r="A46" t="s">
        <v>144</v>
      </c>
      <c r="B46" t="s">
        <v>115</v>
      </c>
      <c r="C46" t="s">
        <v>64</v>
      </c>
      <c r="D46">
        <v>42.653722100000003</v>
      </c>
      <c r="E46">
        <v>-83.448766800000001</v>
      </c>
    </row>
    <row r="47" spans="1:5" x14ac:dyDescent="0.3">
      <c r="A47" t="s">
        <v>145</v>
      </c>
      <c r="B47" t="s">
        <v>129</v>
      </c>
      <c r="C47" t="s">
        <v>64</v>
      </c>
      <c r="D47">
        <v>42.555314899999999</v>
      </c>
      <c r="E47">
        <v>-83.522942299999997</v>
      </c>
    </row>
    <row r="48" spans="1:5" x14ac:dyDescent="0.3">
      <c r="A48" t="s">
        <v>146</v>
      </c>
      <c r="B48" t="s">
        <v>95</v>
      </c>
      <c r="C48" t="s">
        <v>64</v>
      </c>
      <c r="D48">
        <v>42.519021600000002</v>
      </c>
      <c r="E48">
        <v>-83.178530300000006</v>
      </c>
    </row>
    <row r="49" spans="1:5" x14ac:dyDescent="0.3">
      <c r="A49" t="s">
        <v>147</v>
      </c>
      <c r="B49" t="s">
        <v>67</v>
      </c>
      <c r="C49" t="s">
        <v>64</v>
      </c>
      <c r="D49">
        <v>42.565549900000001</v>
      </c>
      <c r="E49">
        <v>-83.215877599999999</v>
      </c>
    </row>
    <row r="50" spans="1:5" x14ac:dyDescent="0.3">
      <c r="A50" t="s">
        <v>148</v>
      </c>
      <c r="B50" t="s">
        <v>111</v>
      </c>
      <c r="C50" t="s">
        <v>64</v>
      </c>
      <c r="D50">
        <v>42.770657100000001</v>
      </c>
      <c r="E50">
        <v>-83.158056000000002</v>
      </c>
    </row>
    <row r="51" spans="1:5" x14ac:dyDescent="0.3">
      <c r="A51" t="s">
        <v>178</v>
      </c>
      <c r="B51" t="s">
        <v>122</v>
      </c>
      <c r="C51" t="s">
        <v>64</v>
      </c>
      <c r="D51">
        <v>42.743091800000002</v>
      </c>
      <c r="E51">
        <v>-83.346921199999997</v>
      </c>
    </row>
    <row r="52" spans="1:5" x14ac:dyDescent="0.3">
      <c r="A52" t="s">
        <v>179</v>
      </c>
      <c r="B52" t="s">
        <v>80</v>
      </c>
      <c r="C52" t="s">
        <v>64</v>
      </c>
      <c r="D52">
        <v>42.794826999999998</v>
      </c>
      <c r="E52">
        <v>-83.294546800000006</v>
      </c>
    </row>
    <row r="53" spans="1:5" x14ac:dyDescent="0.3">
      <c r="A53" t="s">
        <v>180</v>
      </c>
      <c r="B53" t="s">
        <v>181</v>
      </c>
      <c r="C53" t="s">
        <v>64</v>
      </c>
      <c r="D53">
        <v>42.635489999999997</v>
      </c>
      <c r="E53">
        <v>-83.641190499999993</v>
      </c>
    </row>
    <row r="54" spans="1:5" x14ac:dyDescent="0.3">
      <c r="A54" t="s">
        <v>182</v>
      </c>
      <c r="B54" t="s">
        <v>111</v>
      </c>
      <c r="C54" t="s">
        <v>64</v>
      </c>
      <c r="D54">
        <v>42.767689900000001</v>
      </c>
      <c r="E54">
        <v>-83.129025400000003</v>
      </c>
    </row>
    <row r="55" spans="1:5" x14ac:dyDescent="0.3">
      <c r="A55" t="s">
        <v>211</v>
      </c>
      <c r="B55" t="s">
        <v>212</v>
      </c>
      <c r="C55" t="s">
        <v>213</v>
      </c>
      <c r="D55">
        <v>42.414724100000001</v>
      </c>
      <c r="E55">
        <v>-82.894073300000002</v>
      </c>
    </row>
    <row r="56" spans="1:5" x14ac:dyDescent="0.3">
      <c r="A56" t="s">
        <v>214</v>
      </c>
      <c r="B56" t="s">
        <v>215</v>
      </c>
      <c r="C56" t="s">
        <v>213</v>
      </c>
      <c r="D56">
        <v>42.3177515</v>
      </c>
      <c r="E56">
        <v>-83.254531499999999</v>
      </c>
    </row>
    <row r="57" spans="1:5" x14ac:dyDescent="0.3">
      <c r="A57" t="s">
        <v>220</v>
      </c>
      <c r="B57" t="s">
        <v>212</v>
      </c>
      <c r="C57" t="s">
        <v>213</v>
      </c>
      <c r="D57">
        <v>42.385981100000002</v>
      </c>
      <c r="E57">
        <v>-82.898042200000006</v>
      </c>
    </row>
    <row r="58" spans="1:5" x14ac:dyDescent="0.3">
      <c r="A58" t="s">
        <v>221</v>
      </c>
      <c r="B58" t="s">
        <v>222</v>
      </c>
      <c r="C58" t="s">
        <v>213</v>
      </c>
      <c r="D58">
        <v>42.436412799999999</v>
      </c>
      <c r="E58">
        <v>-82.894256499999997</v>
      </c>
    </row>
    <row r="59" spans="1:5" x14ac:dyDescent="0.3">
      <c r="A59" t="s">
        <v>226</v>
      </c>
      <c r="B59" t="s">
        <v>227</v>
      </c>
      <c r="C59" t="s">
        <v>213</v>
      </c>
      <c r="D59">
        <v>42.14011</v>
      </c>
      <c r="E59">
        <v>-83.168873000000005</v>
      </c>
    </row>
    <row r="60" spans="1:5" x14ac:dyDescent="0.3">
      <c r="A60" t="s">
        <v>228</v>
      </c>
      <c r="B60" t="s">
        <v>229</v>
      </c>
      <c r="C60" t="s">
        <v>213</v>
      </c>
      <c r="D60">
        <v>42.286168600000003</v>
      </c>
      <c r="E60">
        <v>-83.438719500000005</v>
      </c>
    </row>
    <row r="61" spans="1:5" x14ac:dyDescent="0.3">
      <c r="A61" t="s">
        <v>230</v>
      </c>
      <c r="B61" t="s">
        <v>231</v>
      </c>
      <c r="C61" t="s">
        <v>213</v>
      </c>
      <c r="D61">
        <v>42.054071999999998</v>
      </c>
      <c r="E61">
        <v>-83.199972000000002</v>
      </c>
    </row>
    <row r="62" spans="1:5" x14ac:dyDescent="0.3">
      <c r="A62" t="s">
        <v>232</v>
      </c>
      <c r="B62" t="s">
        <v>229</v>
      </c>
      <c r="C62" t="s">
        <v>213</v>
      </c>
      <c r="D62">
        <v>42.295347</v>
      </c>
      <c r="E62">
        <v>-83.498548400000004</v>
      </c>
    </row>
    <row r="63" spans="1:5" x14ac:dyDescent="0.3">
      <c r="A63" t="s">
        <v>233</v>
      </c>
      <c r="B63" t="s">
        <v>234</v>
      </c>
      <c r="C63" t="s">
        <v>213</v>
      </c>
      <c r="D63">
        <v>42.167703500000002</v>
      </c>
      <c r="E63">
        <v>-83.205145700000003</v>
      </c>
    </row>
    <row r="64" spans="1:5" x14ac:dyDescent="0.3">
      <c r="A64" t="s">
        <v>238</v>
      </c>
      <c r="B64" t="s">
        <v>239</v>
      </c>
      <c r="C64" t="s">
        <v>213</v>
      </c>
      <c r="D64">
        <v>42.195953299999999</v>
      </c>
      <c r="E64">
        <v>-83.1515579</v>
      </c>
    </row>
    <row r="65" spans="1:6" x14ac:dyDescent="0.3">
      <c r="A65" t="s">
        <v>240</v>
      </c>
      <c r="B65" t="s">
        <v>241</v>
      </c>
      <c r="C65" t="s">
        <v>213</v>
      </c>
      <c r="D65">
        <v>42.306533600000002</v>
      </c>
      <c r="E65">
        <v>-83.350247300000007</v>
      </c>
    </row>
    <row r="66" spans="1:6" x14ac:dyDescent="0.3">
      <c r="A66" t="s">
        <v>562</v>
      </c>
      <c r="B66" t="s">
        <v>242</v>
      </c>
      <c r="C66" t="s">
        <v>213</v>
      </c>
      <c r="D66">
        <v>42.203827199999999</v>
      </c>
      <c r="E66">
        <v>-83.210818700000004</v>
      </c>
    </row>
    <row r="67" spans="1:6" x14ac:dyDescent="0.3">
      <c r="A67" t="s">
        <v>263</v>
      </c>
      <c r="B67" t="s">
        <v>227</v>
      </c>
      <c r="C67" t="s">
        <v>213</v>
      </c>
      <c r="D67">
        <v>42.125564799999999</v>
      </c>
      <c r="E67">
        <v>-83.161568099999997</v>
      </c>
    </row>
    <row r="68" spans="1:6" x14ac:dyDescent="0.3">
      <c r="A68" t="s">
        <v>264</v>
      </c>
      <c r="B68" t="s">
        <v>265</v>
      </c>
      <c r="C68" t="s">
        <v>266</v>
      </c>
      <c r="D68">
        <v>42.405417399999997</v>
      </c>
      <c r="E68">
        <v>-83.433615000000003</v>
      </c>
    </row>
    <row r="69" spans="1:6" x14ac:dyDescent="0.3">
      <c r="A69" t="s">
        <v>588</v>
      </c>
      <c r="B69" t="s">
        <v>215</v>
      </c>
      <c r="C69" t="s">
        <v>213</v>
      </c>
      <c r="D69">
        <v>42.301256000000002</v>
      </c>
      <c r="E69">
        <v>-83.273567999999997</v>
      </c>
    </row>
    <row r="70" spans="1:6" x14ac:dyDescent="0.3">
      <c r="A70" t="s">
        <v>543</v>
      </c>
      <c r="B70" t="s">
        <v>265</v>
      </c>
      <c r="C70" t="s">
        <v>266</v>
      </c>
      <c r="D70">
        <v>42.437733999999999</v>
      </c>
      <c r="E70">
        <v>-83.446752000000004</v>
      </c>
    </row>
    <row r="71" spans="1:6" x14ac:dyDescent="0.3">
      <c r="A71" t="s">
        <v>544</v>
      </c>
      <c r="B71" t="s">
        <v>545</v>
      </c>
      <c r="C71" t="s">
        <v>266</v>
      </c>
      <c r="D71">
        <v>42.3935362</v>
      </c>
      <c r="E71">
        <v>-83.478617400000005</v>
      </c>
    </row>
    <row r="72" spans="1:6" x14ac:dyDescent="0.3">
      <c r="A72" t="s">
        <v>546</v>
      </c>
      <c r="B72" t="s">
        <v>547</v>
      </c>
      <c r="C72" t="s">
        <v>213</v>
      </c>
      <c r="D72">
        <v>42.1388137</v>
      </c>
      <c r="E72">
        <v>-83.365624100000005</v>
      </c>
    </row>
    <row r="73" spans="1:6" x14ac:dyDescent="0.3">
      <c r="A73" t="s">
        <v>587</v>
      </c>
      <c r="B73" t="s">
        <v>548</v>
      </c>
      <c r="C73" t="s">
        <v>213</v>
      </c>
      <c r="D73">
        <v>42.294133899999999</v>
      </c>
      <c r="E73">
        <v>-83.331895599999996</v>
      </c>
    </row>
    <row r="74" spans="1:6" x14ac:dyDescent="0.3">
      <c r="A74" t="s">
        <v>586</v>
      </c>
      <c r="B74" t="s">
        <v>254</v>
      </c>
      <c r="C74" t="s">
        <v>213</v>
      </c>
      <c r="D74">
        <v>42.256616899999997</v>
      </c>
      <c r="E74">
        <v>-83.283656399999998</v>
      </c>
    </row>
    <row r="75" spans="1:6" x14ac:dyDescent="0.3">
      <c r="A75" t="s">
        <v>549</v>
      </c>
      <c r="B75" t="s">
        <v>550</v>
      </c>
      <c r="C75" t="s">
        <v>213</v>
      </c>
      <c r="D75">
        <v>42.266574200000001</v>
      </c>
      <c r="E75">
        <v>-83.363127500000004</v>
      </c>
    </row>
    <row r="76" spans="1:6" x14ac:dyDescent="0.3">
      <c r="A76" t="s">
        <v>551</v>
      </c>
      <c r="B76" t="s">
        <v>545</v>
      </c>
      <c r="C76" t="s">
        <v>266</v>
      </c>
      <c r="D76">
        <v>42.391292499999999</v>
      </c>
      <c r="E76">
        <v>-83.551050799999999</v>
      </c>
    </row>
    <row r="77" spans="1:6" x14ac:dyDescent="0.3">
      <c r="A77" t="s">
        <v>552</v>
      </c>
      <c r="B77" t="s">
        <v>550</v>
      </c>
      <c r="C77" t="s">
        <v>213</v>
      </c>
      <c r="D77">
        <v>42.153228800000001</v>
      </c>
      <c r="E77">
        <v>-83.305986300000001</v>
      </c>
      <c r="F77" t="s">
        <v>585</v>
      </c>
    </row>
    <row r="78" spans="1:6" x14ac:dyDescent="0.3">
      <c r="A78" t="s">
        <v>584</v>
      </c>
      <c r="B78" t="s">
        <v>265</v>
      </c>
      <c r="C78" t="s">
        <v>187</v>
      </c>
      <c r="D78">
        <v>42.404839600000003</v>
      </c>
      <c r="E78">
        <v>-83.591614100000001</v>
      </c>
      <c r="F78" t="s">
        <v>583</v>
      </c>
    </row>
    <row r="79" spans="1:6" x14ac:dyDescent="0.3">
      <c r="A79" t="s">
        <v>582</v>
      </c>
      <c r="B79" t="s">
        <v>227</v>
      </c>
      <c r="C79" t="s">
        <v>213</v>
      </c>
      <c r="D79">
        <v>42.125106799999998</v>
      </c>
      <c r="E79">
        <v>-83.172485300000005</v>
      </c>
    </row>
    <row r="80" spans="1:6" x14ac:dyDescent="0.3">
      <c r="A80" t="s">
        <v>581</v>
      </c>
      <c r="B80" t="s">
        <v>265</v>
      </c>
      <c r="C80" t="s">
        <v>266</v>
      </c>
      <c r="D80">
        <v>42.4183758</v>
      </c>
      <c r="E80">
        <v>-83.604451999999995</v>
      </c>
    </row>
    <row r="81" spans="1:6" x14ac:dyDescent="0.3">
      <c r="A81" t="s">
        <v>554</v>
      </c>
      <c r="B81" t="s">
        <v>82</v>
      </c>
      <c r="C81" t="s">
        <v>64</v>
      </c>
      <c r="D81">
        <v>42.557174600000003</v>
      </c>
      <c r="E81">
        <v>-83.397872899999996</v>
      </c>
    </row>
    <row r="82" spans="1:6" x14ac:dyDescent="0.3">
      <c r="A82" t="s">
        <v>580</v>
      </c>
      <c r="B82" t="s">
        <v>82</v>
      </c>
      <c r="C82" t="s">
        <v>64</v>
      </c>
      <c r="D82">
        <v>42.564381099999999</v>
      </c>
      <c r="E82">
        <v>-83.354633399999997</v>
      </c>
      <c r="F82" t="s">
        <v>579</v>
      </c>
    </row>
    <row r="83" spans="1:6" x14ac:dyDescent="0.3">
      <c r="A83" t="s">
        <v>578</v>
      </c>
      <c r="B83" t="s">
        <v>77</v>
      </c>
      <c r="C83" t="s">
        <v>64</v>
      </c>
      <c r="D83">
        <v>42.664302800000002</v>
      </c>
      <c r="E83">
        <v>-83.203569700000003</v>
      </c>
    </row>
    <row r="84" spans="1:6" x14ac:dyDescent="0.3">
      <c r="A84" t="s">
        <v>40</v>
      </c>
      <c r="B84" t="s">
        <v>19</v>
      </c>
      <c r="C84" t="s">
        <v>19</v>
      </c>
      <c r="D84">
        <v>42.6475784</v>
      </c>
      <c r="E84">
        <v>-82.88073</v>
      </c>
    </row>
    <row r="85" spans="1:6" x14ac:dyDescent="0.3">
      <c r="A85" t="s">
        <v>564</v>
      </c>
      <c r="B85" t="s">
        <v>18</v>
      </c>
      <c r="C85" t="s">
        <v>19</v>
      </c>
      <c r="D85">
        <v>42.682431899999997</v>
      </c>
      <c r="E85">
        <v>-82.850882499999997</v>
      </c>
      <c r="F85" t="s">
        <v>577</v>
      </c>
    </row>
    <row r="86" spans="1:6" x14ac:dyDescent="0.3">
      <c r="A86" t="s">
        <v>590</v>
      </c>
      <c r="B86" t="s">
        <v>103</v>
      </c>
      <c r="C86" t="s">
        <v>64</v>
      </c>
      <c r="D86">
        <v>42.4550792</v>
      </c>
      <c r="E86">
        <v>-83.578207500000005</v>
      </c>
    </row>
    <row r="87" spans="1:6" x14ac:dyDescent="0.3">
      <c r="A87" t="s">
        <v>559</v>
      </c>
      <c r="B87" t="s">
        <v>23</v>
      </c>
      <c r="C87" t="s">
        <v>19</v>
      </c>
      <c r="D87">
        <v>42.796393399999999</v>
      </c>
      <c r="E87">
        <v>-82.986442999999994</v>
      </c>
      <c r="F87" t="s">
        <v>576</v>
      </c>
    </row>
    <row r="88" spans="1:6" x14ac:dyDescent="0.3">
      <c r="A88" t="s">
        <v>560</v>
      </c>
      <c r="B88" t="s">
        <v>561</v>
      </c>
      <c r="C88" t="s">
        <v>64</v>
      </c>
      <c r="D88">
        <v>42.509386599999999</v>
      </c>
      <c r="E88">
        <v>-83.105301600000004</v>
      </c>
    </row>
    <row r="89" spans="1:6" x14ac:dyDescent="0.3">
      <c r="A89" t="s">
        <v>267</v>
      </c>
      <c r="D89">
        <v>42.362858799999998</v>
      </c>
      <c r="E89">
        <v>-83.593107099999997</v>
      </c>
    </row>
    <row r="90" spans="1:6" x14ac:dyDescent="0.3">
      <c r="A90" t="s">
        <v>272</v>
      </c>
      <c r="D90">
        <v>42.400437400000001</v>
      </c>
      <c r="E90">
        <v>-83.495900599999999</v>
      </c>
    </row>
    <row r="91" spans="1:6" x14ac:dyDescent="0.3">
      <c r="A91" t="s">
        <v>161</v>
      </c>
      <c r="D91">
        <v>42.462790499999997</v>
      </c>
      <c r="E91">
        <v>-83.543694799999997</v>
      </c>
    </row>
    <row r="92" spans="1:6" x14ac:dyDescent="0.3">
      <c r="A92" t="s">
        <v>270</v>
      </c>
      <c r="D92">
        <v>42.365600499999999</v>
      </c>
      <c r="E92">
        <v>-83.504638600000007</v>
      </c>
    </row>
    <row r="93" spans="1:6" x14ac:dyDescent="0.3">
      <c r="A93" t="s">
        <v>153</v>
      </c>
      <c r="D93">
        <v>42.482575599999997</v>
      </c>
      <c r="E93">
        <v>-83.419117200000002</v>
      </c>
    </row>
    <row r="94" spans="1:6" x14ac:dyDescent="0.3">
      <c r="A94" t="s">
        <v>164</v>
      </c>
      <c r="D94">
        <v>42.525914800000002</v>
      </c>
      <c r="E94">
        <v>-83.458842200000007</v>
      </c>
    </row>
    <row r="95" spans="1:6" x14ac:dyDescent="0.3">
      <c r="A95" t="s">
        <v>149</v>
      </c>
      <c r="D95">
        <v>42.498356299999998</v>
      </c>
      <c r="E95">
        <v>-83.424146399999998</v>
      </c>
    </row>
    <row r="96" spans="1:6" x14ac:dyDescent="0.3">
      <c r="A96" t="s">
        <v>155</v>
      </c>
      <c r="D96">
        <v>42.514366600000002</v>
      </c>
      <c r="E96">
        <v>-83.352645600000002</v>
      </c>
    </row>
    <row r="97" spans="1:5" x14ac:dyDescent="0.3">
      <c r="A97" t="s">
        <v>245</v>
      </c>
      <c r="D97">
        <v>42.427212900000001</v>
      </c>
      <c r="E97">
        <v>-83.398247600000005</v>
      </c>
    </row>
    <row r="98" spans="1:5" x14ac:dyDescent="0.3">
      <c r="A98" t="s">
        <v>261</v>
      </c>
      <c r="D98">
        <v>42.437730600000002</v>
      </c>
      <c r="E98">
        <v>-83.412829299999999</v>
      </c>
    </row>
    <row r="99" spans="1:5" x14ac:dyDescent="0.3">
      <c r="A99" t="s">
        <v>248</v>
      </c>
      <c r="D99">
        <v>42.413930000000001</v>
      </c>
      <c r="E99">
        <v>-83.290976499999999</v>
      </c>
    </row>
    <row r="100" spans="1:5" x14ac:dyDescent="0.3">
      <c r="A100" t="s">
        <v>235</v>
      </c>
      <c r="D100">
        <v>42.393538399999997</v>
      </c>
      <c r="E100">
        <v>-83.299947099999997</v>
      </c>
    </row>
    <row r="101" spans="1:5" x14ac:dyDescent="0.3">
      <c r="A101" t="s">
        <v>251</v>
      </c>
      <c r="D101">
        <v>42.397714399999998</v>
      </c>
      <c r="E101">
        <v>-83.396897999999993</v>
      </c>
    </row>
    <row r="102" spans="1:5" x14ac:dyDescent="0.3">
      <c r="A102" t="s">
        <v>258</v>
      </c>
      <c r="D102">
        <v>42.340946600000002</v>
      </c>
      <c r="E102">
        <v>-83.296723</v>
      </c>
    </row>
    <row r="103" spans="1:5" x14ac:dyDescent="0.3">
      <c r="A103" t="s">
        <v>223</v>
      </c>
      <c r="D103">
        <v>42.306407900000004</v>
      </c>
      <c r="E103">
        <v>-83.200866399999995</v>
      </c>
    </row>
    <row r="104" spans="1:5" x14ac:dyDescent="0.3">
      <c r="A104" t="s">
        <v>91</v>
      </c>
      <c r="D104">
        <v>42.451143500000001</v>
      </c>
      <c r="E104">
        <v>-83.262468299999995</v>
      </c>
    </row>
    <row r="105" spans="1:5" x14ac:dyDescent="0.3">
      <c r="A105" t="s">
        <v>256</v>
      </c>
      <c r="D105">
        <v>42.373478300000002</v>
      </c>
      <c r="E105">
        <v>-83.247218599999997</v>
      </c>
    </row>
    <row r="106" spans="1:5" x14ac:dyDescent="0.3">
      <c r="A106" t="s">
        <v>243</v>
      </c>
      <c r="D106">
        <v>42.397154499999999</v>
      </c>
      <c r="E106">
        <v>-82.972870499999999</v>
      </c>
    </row>
    <row r="107" spans="1:5" x14ac:dyDescent="0.3">
      <c r="A107" t="s">
        <v>151</v>
      </c>
      <c r="D107">
        <v>42.4791174</v>
      </c>
      <c r="E107">
        <v>-83.235712599999999</v>
      </c>
    </row>
    <row r="108" spans="1:5" x14ac:dyDescent="0.3">
      <c r="A108" t="s">
        <v>168</v>
      </c>
      <c r="D108">
        <v>42.476184199999999</v>
      </c>
      <c r="E108">
        <v>-83.163585400000002</v>
      </c>
    </row>
    <row r="109" spans="1:5" x14ac:dyDescent="0.3">
      <c r="A109" t="s">
        <v>253</v>
      </c>
      <c r="D109">
        <v>42.2099154</v>
      </c>
      <c r="E109">
        <v>-83.2832109</v>
      </c>
    </row>
    <row r="110" spans="1:5" x14ac:dyDescent="0.3">
      <c r="A110" t="s">
        <v>216</v>
      </c>
      <c r="D110">
        <v>42.426279999999998</v>
      </c>
      <c r="E110">
        <v>-83.126246199999997</v>
      </c>
    </row>
    <row r="111" spans="1:5" x14ac:dyDescent="0.3">
      <c r="A111" t="s">
        <v>159</v>
      </c>
      <c r="D111">
        <v>42.531310499999996</v>
      </c>
      <c r="E111">
        <v>-83.2476032</v>
      </c>
    </row>
    <row r="112" spans="1:5" x14ac:dyDescent="0.3">
      <c r="A112" t="s">
        <v>207</v>
      </c>
      <c r="D112">
        <v>42.210417</v>
      </c>
      <c r="E112">
        <v>-83.764593000000005</v>
      </c>
    </row>
    <row r="113" spans="1:5" x14ac:dyDescent="0.3">
      <c r="A113" t="s">
        <v>199</v>
      </c>
      <c r="D113">
        <v>42.2716371</v>
      </c>
      <c r="E113">
        <v>-83.696794100000005</v>
      </c>
    </row>
    <row r="114" spans="1:5" x14ac:dyDescent="0.3">
      <c r="A114" t="s">
        <v>203</v>
      </c>
      <c r="D114">
        <v>42.302698599999999</v>
      </c>
      <c r="E114">
        <v>-83.725076200000004</v>
      </c>
    </row>
    <row r="115" spans="1:5" x14ac:dyDescent="0.3">
      <c r="A115" t="s">
        <v>209</v>
      </c>
      <c r="D115">
        <v>42.252330399999998</v>
      </c>
      <c r="E115">
        <v>-83.659151899999998</v>
      </c>
    </row>
    <row r="116" spans="1:5" x14ac:dyDescent="0.3">
      <c r="A116" t="s">
        <v>188</v>
      </c>
      <c r="D116">
        <v>42.262821099999996</v>
      </c>
      <c r="E116">
        <v>-83.743736200000001</v>
      </c>
    </row>
    <row r="117" spans="1:5" x14ac:dyDescent="0.3">
      <c r="A117" t="s">
        <v>194</v>
      </c>
      <c r="D117">
        <v>42.225657699999999</v>
      </c>
      <c r="E117">
        <v>-83.6118685</v>
      </c>
    </row>
    <row r="118" spans="1:5" x14ac:dyDescent="0.3">
      <c r="A118" t="s">
        <v>201</v>
      </c>
      <c r="D118">
        <v>42.230115900000001</v>
      </c>
      <c r="E118">
        <v>-83.783346600000002</v>
      </c>
    </row>
    <row r="119" spans="1:5" x14ac:dyDescent="0.3">
      <c r="A119" t="s">
        <v>197</v>
      </c>
      <c r="D119">
        <v>42.259149499999999</v>
      </c>
      <c r="E119">
        <v>-83.570399499999994</v>
      </c>
    </row>
    <row r="120" spans="1:5" x14ac:dyDescent="0.3">
      <c r="A120" t="s">
        <v>205</v>
      </c>
      <c r="D120">
        <v>42.205247100000001</v>
      </c>
      <c r="E120">
        <v>-83.624503599999997</v>
      </c>
    </row>
    <row r="121" spans="1:5" x14ac:dyDescent="0.3">
      <c r="A121" t="s">
        <v>191</v>
      </c>
      <c r="D121">
        <v>42.191813400000001</v>
      </c>
      <c r="E121">
        <v>-83.794189500000002</v>
      </c>
    </row>
    <row r="122" spans="1:5" x14ac:dyDescent="0.3">
      <c r="A122" t="s">
        <v>94</v>
      </c>
      <c r="D122">
        <v>42.506780300000003</v>
      </c>
      <c r="E122">
        <v>-83.142342900000003</v>
      </c>
    </row>
    <row r="123" spans="1:5" x14ac:dyDescent="0.3">
      <c r="A123" t="s">
        <v>97</v>
      </c>
      <c r="D123">
        <v>42.589330799999999</v>
      </c>
      <c r="E123">
        <v>-83.240407099999999</v>
      </c>
    </row>
    <row r="124" spans="1:5" x14ac:dyDescent="0.3">
      <c r="A124" t="s">
        <v>66</v>
      </c>
      <c r="D124">
        <v>42.582906199999996</v>
      </c>
      <c r="E124">
        <v>-83.252639299999998</v>
      </c>
    </row>
    <row r="125" spans="1:5" x14ac:dyDescent="0.3">
      <c r="A125" t="s">
        <v>98</v>
      </c>
      <c r="D125">
        <v>42.738699599999997</v>
      </c>
      <c r="E125">
        <v>-83.1820819</v>
      </c>
    </row>
    <row r="126" spans="1:5" x14ac:dyDescent="0.3">
      <c r="A126" t="s">
        <v>104</v>
      </c>
      <c r="D126">
        <v>42.5145433</v>
      </c>
      <c r="E126">
        <v>-83.353785400000007</v>
      </c>
    </row>
    <row r="127" spans="1:5" x14ac:dyDescent="0.3">
      <c r="A127" t="s">
        <v>81</v>
      </c>
      <c r="D127">
        <v>42.544702100000002</v>
      </c>
      <c r="E127">
        <v>-83.328326899999993</v>
      </c>
    </row>
    <row r="128" spans="1:5" x14ac:dyDescent="0.3">
      <c r="A128" t="s">
        <v>84</v>
      </c>
      <c r="D128">
        <v>42.5438957</v>
      </c>
      <c r="E128">
        <v>-83.277687</v>
      </c>
    </row>
    <row r="129" spans="1:5" x14ac:dyDescent="0.3">
      <c r="A129" t="s">
        <v>87</v>
      </c>
      <c r="D129">
        <v>42.585863400000001</v>
      </c>
      <c r="E129">
        <v>-83.382677400000006</v>
      </c>
    </row>
    <row r="130" spans="1:5" x14ac:dyDescent="0.3">
      <c r="A130" t="s">
        <v>89</v>
      </c>
      <c r="D130">
        <v>42.592991900000001</v>
      </c>
      <c r="E130">
        <v>-83.343317099999993</v>
      </c>
    </row>
    <row r="131" spans="1:5" x14ac:dyDescent="0.3">
      <c r="A131" t="s">
        <v>57</v>
      </c>
      <c r="D131">
        <v>42.656244999999998</v>
      </c>
      <c r="E131">
        <v>-82.878148999999993</v>
      </c>
    </row>
    <row r="132" spans="1:5" x14ac:dyDescent="0.3">
      <c r="A132" t="s">
        <v>55</v>
      </c>
      <c r="D132">
        <v>42.660101900000001</v>
      </c>
      <c r="E132">
        <v>-82.8781587</v>
      </c>
    </row>
    <row r="133" spans="1:5" x14ac:dyDescent="0.3">
      <c r="A133" t="s">
        <v>50</v>
      </c>
      <c r="D133">
        <v>42.6896171</v>
      </c>
      <c r="E133">
        <v>-82.942924399999995</v>
      </c>
    </row>
    <row r="134" spans="1:5" x14ac:dyDescent="0.3">
      <c r="A134" t="s">
        <v>184</v>
      </c>
      <c r="D134">
        <v>42.797695500000003</v>
      </c>
      <c r="E134">
        <v>-82.601354999999998</v>
      </c>
    </row>
    <row r="135" spans="1:5" x14ac:dyDescent="0.3">
      <c r="A135" t="s">
        <v>48</v>
      </c>
      <c r="D135">
        <v>42.676975900000002</v>
      </c>
      <c r="E135">
        <v>-83.021367400000003</v>
      </c>
    </row>
    <row r="136" spans="1:5" x14ac:dyDescent="0.3">
      <c r="A136" t="s">
        <v>59</v>
      </c>
      <c r="D136">
        <v>42.755653299999999</v>
      </c>
      <c r="E136">
        <v>-83.036557200000004</v>
      </c>
    </row>
    <row r="137" spans="1:5" x14ac:dyDescent="0.3">
      <c r="A137" t="s">
        <v>43</v>
      </c>
      <c r="D137">
        <v>42.672508200000003</v>
      </c>
      <c r="E137">
        <v>-82.871765100000005</v>
      </c>
    </row>
    <row r="138" spans="1:5" x14ac:dyDescent="0.3">
      <c r="A138" t="s">
        <v>45</v>
      </c>
      <c r="D138">
        <v>42.823999999999998</v>
      </c>
      <c r="E138">
        <v>-83.051682999999997</v>
      </c>
    </row>
    <row r="139" spans="1:5" x14ac:dyDescent="0.3">
      <c r="A139" t="s">
        <v>40</v>
      </c>
      <c r="D139">
        <v>42.6475784</v>
      </c>
      <c r="E139">
        <v>-82.88073</v>
      </c>
    </row>
    <row r="140" spans="1:5" x14ac:dyDescent="0.3">
      <c r="A140" t="s">
        <v>53</v>
      </c>
      <c r="D140">
        <v>42.880274999999997</v>
      </c>
      <c r="E140">
        <v>-83.090995000000007</v>
      </c>
    </row>
    <row r="141" spans="1:5" x14ac:dyDescent="0.3">
      <c r="A141" t="s">
        <v>176</v>
      </c>
      <c r="D141">
        <v>42.602679000000002</v>
      </c>
      <c r="E141">
        <v>-83.130157999999994</v>
      </c>
    </row>
    <row r="142" spans="1:5" x14ac:dyDescent="0.3">
      <c r="A142" t="s">
        <v>171</v>
      </c>
      <c r="D142">
        <v>42.623658900000002</v>
      </c>
      <c r="E142">
        <v>-83.103786200000002</v>
      </c>
    </row>
    <row r="143" spans="1:5" x14ac:dyDescent="0.3">
      <c r="A143" t="s">
        <v>166</v>
      </c>
      <c r="D143">
        <v>42.624231399999999</v>
      </c>
      <c r="E143">
        <v>-83.197305799999995</v>
      </c>
    </row>
    <row r="144" spans="1:5" x14ac:dyDescent="0.3">
      <c r="A144" t="s">
        <v>157</v>
      </c>
      <c r="D144">
        <v>42.642738999999999</v>
      </c>
      <c r="E144">
        <v>-83.120490000000004</v>
      </c>
    </row>
    <row r="145" spans="1:5" x14ac:dyDescent="0.3">
      <c r="A145" t="s">
        <v>174</v>
      </c>
      <c r="D145">
        <v>42.558334299999999</v>
      </c>
      <c r="E145">
        <v>-83.180168100000003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E3B8-B6A2-44AE-8818-D520C43B6D82}">
  <dimension ref="A1:C128"/>
  <sheetViews>
    <sheetView topLeftCell="A98" workbookViewId="0">
      <selection sqref="A1:C1"/>
    </sheetView>
  </sheetViews>
  <sheetFormatPr defaultRowHeight="14.4" x14ac:dyDescent="0.3"/>
  <cols>
    <col min="1" max="1" width="31.88671875" bestFit="1" customWidth="1"/>
    <col min="2" max="2" width="12.109375" bestFit="1" customWidth="1"/>
    <col min="3" max="3" width="13.77734375" bestFit="1" customWidth="1"/>
  </cols>
  <sheetData>
    <row r="1" spans="1:3" x14ac:dyDescent="0.3">
      <c r="A1" s="27" t="s">
        <v>1</v>
      </c>
      <c r="B1" s="27" t="s">
        <v>6</v>
      </c>
      <c r="C1" s="27" t="s">
        <v>7</v>
      </c>
    </row>
    <row r="2" spans="1:3" x14ac:dyDescent="0.3">
      <c r="A2" t="s">
        <v>108</v>
      </c>
      <c r="B2">
        <v>3.9</v>
      </c>
      <c r="C2">
        <v>212</v>
      </c>
    </row>
    <row r="3" spans="1:3" x14ac:dyDescent="0.3">
      <c r="A3" t="s">
        <v>109</v>
      </c>
      <c r="B3">
        <v>4.3</v>
      </c>
      <c r="C3">
        <v>283</v>
      </c>
    </row>
    <row r="4" spans="1:3" x14ac:dyDescent="0.3">
      <c r="A4" t="s">
        <v>40</v>
      </c>
      <c r="B4">
        <v>3.7</v>
      </c>
      <c r="C4">
        <v>233</v>
      </c>
    </row>
    <row r="5" spans="1:3" x14ac:dyDescent="0.3">
      <c r="A5" t="s">
        <v>43</v>
      </c>
      <c r="B5">
        <v>3.9</v>
      </c>
      <c r="C5">
        <v>403</v>
      </c>
    </row>
    <row r="6" spans="1:3" x14ac:dyDescent="0.3">
      <c r="A6" t="s">
        <v>62</v>
      </c>
      <c r="B6">
        <v>4.7</v>
      </c>
      <c r="C6">
        <v>178</v>
      </c>
    </row>
    <row r="7" spans="1:3" x14ac:dyDescent="0.3">
      <c r="A7" t="s">
        <v>110</v>
      </c>
      <c r="B7">
        <v>3.7</v>
      </c>
      <c r="C7">
        <v>377</v>
      </c>
    </row>
    <row r="8" spans="1:3" x14ac:dyDescent="0.3">
      <c r="A8" t="s">
        <v>66</v>
      </c>
      <c r="B8">
        <v>4.4000000000000004</v>
      </c>
      <c r="C8">
        <v>122</v>
      </c>
    </row>
    <row r="9" spans="1:3" x14ac:dyDescent="0.3">
      <c r="A9" t="s">
        <v>112</v>
      </c>
      <c r="B9">
        <v>4.3</v>
      </c>
      <c r="C9">
        <v>503</v>
      </c>
    </row>
    <row r="10" spans="1:3" x14ac:dyDescent="0.3">
      <c r="A10" t="s">
        <v>551</v>
      </c>
      <c r="B10">
        <v>3.7</v>
      </c>
      <c r="C10">
        <v>243</v>
      </c>
    </row>
    <row r="11" spans="1:3" x14ac:dyDescent="0.3">
      <c r="A11" t="s">
        <v>114</v>
      </c>
      <c r="B11">
        <v>4.0999999999999996</v>
      </c>
      <c r="C11">
        <v>214</v>
      </c>
    </row>
    <row r="12" spans="1:3" x14ac:dyDescent="0.3">
      <c r="A12" t="s">
        <v>718</v>
      </c>
      <c r="B12">
        <v>4.5999999999999996</v>
      </c>
      <c r="C12">
        <v>52</v>
      </c>
    </row>
    <row r="13" spans="1:3" x14ac:dyDescent="0.3">
      <c r="A13" t="s">
        <v>45</v>
      </c>
      <c r="B13">
        <v>3.8</v>
      </c>
      <c r="C13">
        <v>186</v>
      </c>
    </row>
    <row r="14" spans="1:3" x14ac:dyDescent="0.3">
      <c r="A14" t="s">
        <v>264</v>
      </c>
      <c r="B14">
        <v>4.3</v>
      </c>
      <c r="C14">
        <v>113</v>
      </c>
    </row>
    <row r="15" spans="1:3" x14ac:dyDescent="0.3">
      <c r="A15" t="s">
        <v>17</v>
      </c>
      <c r="B15">
        <v>3.7</v>
      </c>
      <c r="C15">
        <v>285</v>
      </c>
    </row>
    <row r="16" spans="1:3" x14ac:dyDescent="0.3">
      <c r="A16" t="s">
        <v>243</v>
      </c>
      <c r="B16">
        <v>4.2</v>
      </c>
      <c r="C16">
        <v>300</v>
      </c>
    </row>
    <row r="17" spans="1:3" x14ac:dyDescent="0.3">
      <c r="A17" t="s">
        <v>48</v>
      </c>
      <c r="B17">
        <v>4.5</v>
      </c>
      <c r="C17">
        <v>1038</v>
      </c>
    </row>
    <row r="18" spans="1:3" x14ac:dyDescent="0.3">
      <c r="A18" t="s">
        <v>149</v>
      </c>
      <c r="B18">
        <v>4.2</v>
      </c>
      <c r="C18">
        <v>209</v>
      </c>
    </row>
    <row r="19" spans="1:3" x14ac:dyDescent="0.3">
      <c r="A19" t="s">
        <v>116</v>
      </c>
      <c r="B19">
        <v>3.9</v>
      </c>
      <c r="C19">
        <v>304</v>
      </c>
    </row>
    <row r="20" spans="1:3" x14ac:dyDescent="0.3">
      <c r="A20" t="s">
        <v>211</v>
      </c>
      <c r="B20">
        <v>4.5999999999999996</v>
      </c>
      <c r="C20">
        <v>269</v>
      </c>
    </row>
    <row r="21" spans="1:3" x14ac:dyDescent="0.3">
      <c r="A21" t="s">
        <v>117</v>
      </c>
      <c r="B21">
        <v>4.0999999999999996</v>
      </c>
      <c r="C21">
        <v>287</v>
      </c>
    </row>
    <row r="22" spans="1:3" x14ac:dyDescent="0.3">
      <c r="A22" t="s">
        <v>50</v>
      </c>
      <c r="B22">
        <v>3.9</v>
      </c>
      <c r="C22">
        <v>133</v>
      </c>
    </row>
    <row r="23" spans="1:3" x14ac:dyDescent="0.3">
      <c r="A23" t="s">
        <v>214</v>
      </c>
      <c r="B23">
        <v>4.5</v>
      </c>
      <c r="C23">
        <v>234</v>
      </c>
    </row>
    <row r="24" spans="1:3" x14ac:dyDescent="0.3">
      <c r="A24" t="s">
        <v>588</v>
      </c>
      <c r="B24">
        <v>3.6</v>
      </c>
      <c r="C24">
        <v>148</v>
      </c>
    </row>
    <row r="25" spans="1:3" x14ac:dyDescent="0.3">
      <c r="A25" t="s">
        <v>216</v>
      </c>
      <c r="B25">
        <v>4.7</v>
      </c>
      <c r="C25">
        <v>615</v>
      </c>
    </row>
    <row r="26" spans="1:3" x14ac:dyDescent="0.3">
      <c r="A26" t="s">
        <v>581</v>
      </c>
      <c r="B26">
        <v>3.8</v>
      </c>
      <c r="C26">
        <v>263</v>
      </c>
    </row>
    <row r="27" spans="1:3" x14ac:dyDescent="0.3">
      <c r="A27" t="s">
        <v>70</v>
      </c>
      <c r="B27">
        <v>4.7</v>
      </c>
      <c r="C27">
        <v>225</v>
      </c>
    </row>
    <row r="28" spans="1:3" x14ac:dyDescent="0.3">
      <c r="A28" t="s">
        <v>151</v>
      </c>
      <c r="B28">
        <v>4</v>
      </c>
      <c r="C28">
        <v>197</v>
      </c>
    </row>
    <row r="29" spans="1:3" x14ac:dyDescent="0.3">
      <c r="A29" t="s">
        <v>153</v>
      </c>
      <c r="B29">
        <v>4.2</v>
      </c>
      <c r="C29">
        <v>512</v>
      </c>
    </row>
    <row r="30" spans="1:3" x14ac:dyDescent="0.3">
      <c r="A30" t="s">
        <v>228</v>
      </c>
      <c r="B30">
        <v>4.2</v>
      </c>
      <c r="C30">
        <v>409</v>
      </c>
    </row>
    <row r="31" spans="1:3" x14ac:dyDescent="0.3">
      <c r="A31" t="s">
        <v>20</v>
      </c>
      <c r="B31">
        <v>4.0999999999999996</v>
      </c>
      <c r="C31">
        <v>927</v>
      </c>
    </row>
    <row r="32" spans="1:3" x14ac:dyDescent="0.3">
      <c r="A32" t="s">
        <v>119</v>
      </c>
      <c r="B32">
        <v>3.9</v>
      </c>
      <c r="C32">
        <v>432</v>
      </c>
    </row>
    <row r="33" spans="1:3" x14ac:dyDescent="0.3">
      <c r="A33" t="s">
        <v>72</v>
      </c>
      <c r="B33">
        <v>4.5999999999999996</v>
      </c>
      <c r="C33">
        <v>142</v>
      </c>
    </row>
    <row r="34" spans="1:3" x14ac:dyDescent="0.3">
      <c r="A34" t="s">
        <v>121</v>
      </c>
      <c r="B34">
        <v>4.4000000000000004</v>
      </c>
      <c r="C34">
        <v>702</v>
      </c>
    </row>
    <row r="35" spans="1:3" x14ac:dyDescent="0.3">
      <c r="A35" t="s">
        <v>245</v>
      </c>
      <c r="B35">
        <v>4.4000000000000004</v>
      </c>
      <c r="C35">
        <v>427</v>
      </c>
    </row>
    <row r="36" spans="1:3" x14ac:dyDescent="0.3">
      <c r="A36" t="s">
        <v>267</v>
      </c>
      <c r="B36">
        <v>4.5999999999999996</v>
      </c>
      <c r="C36">
        <v>1075</v>
      </c>
    </row>
    <row r="37" spans="1:3" x14ac:dyDescent="0.3">
      <c r="A37" t="s">
        <v>74</v>
      </c>
      <c r="B37">
        <v>4.4000000000000004</v>
      </c>
      <c r="C37">
        <v>135</v>
      </c>
    </row>
    <row r="38" spans="1:3" x14ac:dyDescent="0.3">
      <c r="A38" t="s">
        <v>549</v>
      </c>
      <c r="B38">
        <v>4.2</v>
      </c>
      <c r="C38">
        <v>502</v>
      </c>
    </row>
    <row r="39" spans="1:3" x14ac:dyDescent="0.3">
      <c r="A39" t="s">
        <v>22</v>
      </c>
    </row>
    <row r="40" spans="1:3" x14ac:dyDescent="0.3">
      <c r="A40" t="s">
        <v>155</v>
      </c>
      <c r="B40">
        <v>4.4000000000000004</v>
      </c>
      <c r="C40">
        <v>255</v>
      </c>
    </row>
    <row r="41" spans="1:3" x14ac:dyDescent="0.3">
      <c r="A41" t="s">
        <v>248</v>
      </c>
      <c r="B41">
        <v>4.3</v>
      </c>
      <c r="C41">
        <v>407</v>
      </c>
    </row>
    <row r="42" spans="1:3" x14ac:dyDescent="0.3">
      <c r="A42" t="s">
        <v>61</v>
      </c>
      <c r="B42">
        <v>4.7</v>
      </c>
      <c r="C42">
        <v>132</v>
      </c>
    </row>
    <row r="43" spans="1:3" x14ac:dyDescent="0.3">
      <c r="A43" t="s">
        <v>76</v>
      </c>
      <c r="B43">
        <v>4.5999999999999996</v>
      </c>
      <c r="C43">
        <v>197</v>
      </c>
    </row>
    <row r="44" spans="1:3" x14ac:dyDescent="0.3">
      <c r="A44" t="s">
        <v>24</v>
      </c>
      <c r="B44">
        <v>4.4000000000000004</v>
      </c>
      <c r="C44">
        <v>647</v>
      </c>
    </row>
    <row r="45" spans="1:3" x14ac:dyDescent="0.3">
      <c r="A45" t="s">
        <v>263</v>
      </c>
      <c r="B45">
        <v>4.5999999999999996</v>
      </c>
      <c r="C45">
        <v>182</v>
      </c>
    </row>
    <row r="46" spans="1:3" x14ac:dyDescent="0.3">
      <c r="A46" t="s">
        <v>220</v>
      </c>
      <c r="B46">
        <v>4.5</v>
      </c>
      <c r="C46">
        <v>43</v>
      </c>
    </row>
    <row r="47" spans="1:3" x14ac:dyDescent="0.3">
      <c r="A47" t="s">
        <v>123</v>
      </c>
      <c r="B47">
        <v>2.8</v>
      </c>
      <c r="C47">
        <v>170</v>
      </c>
    </row>
    <row r="48" spans="1:3" x14ac:dyDescent="0.3">
      <c r="A48" t="s">
        <v>53</v>
      </c>
      <c r="B48">
        <v>4.5</v>
      </c>
      <c r="C48">
        <v>331</v>
      </c>
    </row>
    <row r="49" spans="1:3" x14ac:dyDescent="0.3">
      <c r="A49" t="s">
        <v>78</v>
      </c>
      <c r="B49">
        <v>4.5999999999999996</v>
      </c>
      <c r="C49">
        <v>282</v>
      </c>
    </row>
    <row r="50" spans="1:3" x14ac:dyDescent="0.3">
      <c r="A50" t="s">
        <v>145</v>
      </c>
      <c r="B50">
        <v>4</v>
      </c>
      <c r="C50">
        <v>126</v>
      </c>
    </row>
    <row r="51" spans="1:3" x14ac:dyDescent="0.3">
      <c r="A51" t="s">
        <v>55</v>
      </c>
      <c r="B51">
        <v>4.0999999999999996</v>
      </c>
      <c r="C51">
        <v>378</v>
      </c>
    </row>
    <row r="52" spans="1:3" x14ac:dyDescent="0.3">
      <c r="A52" t="s">
        <v>125</v>
      </c>
      <c r="B52">
        <v>3.5</v>
      </c>
      <c r="C52">
        <v>213</v>
      </c>
    </row>
    <row r="53" spans="1:3" x14ac:dyDescent="0.3">
      <c r="A53" t="s">
        <v>270</v>
      </c>
      <c r="B53">
        <v>3.7</v>
      </c>
      <c r="C53">
        <v>315</v>
      </c>
    </row>
    <row r="54" spans="1:3" x14ac:dyDescent="0.3">
      <c r="A54" t="s">
        <v>251</v>
      </c>
      <c r="B54">
        <v>3.8</v>
      </c>
      <c r="C54">
        <v>409</v>
      </c>
    </row>
    <row r="55" spans="1:3" x14ac:dyDescent="0.3">
      <c r="A55" t="s">
        <v>127</v>
      </c>
      <c r="B55">
        <v>4.2</v>
      </c>
      <c r="C55">
        <v>266</v>
      </c>
    </row>
    <row r="56" spans="1:3" x14ac:dyDescent="0.3">
      <c r="A56" t="s">
        <v>79</v>
      </c>
      <c r="B56">
        <v>4.5999999999999996</v>
      </c>
      <c r="C56">
        <v>321</v>
      </c>
    </row>
    <row r="57" spans="1:3" x14ac:dyDescent="0.3">
      <c r="A57" t="s">
        <v>587</v>
      </c>
      <c r="B57">
        <v>3.7</v>
      </c>
      <c r="C57">
        <v>256</v>
      </c>
    </row>
    <row r="58" spans="1:3" x14ac:dyDescent="0.3">
      <c r="A58" t="s">
        <v>578</v>
      </c>
      <c r="B58">
        <v>4.7</v>
      </c>
      <c r="C58">
        <v>79</v>
      </c>
    </row>
    <row r="59" spans="1:3" x14ac:dyDescent="0.3">
      <c r="A59" t="s">
        <v>81</v>
      </c>
      <c r="B59">
        <v>4.7</v>
      </c>
      <c r="C59">
        <v>90</v>
      </c>
    </row>
    <row r="60" spans="1:3" x14ac:dyDescent="0.3">
      <c r="A60" t="s">
        <v>230</v>
      </c>
      <c r="B60">
        <v>4.3</v>
      </c>
      <c r="C60">
        <v>250</v>
      </c>
    </row>
    <row r="61" spans="1:3" x14ac:dyDescent="0.3">
      <c r="A61" t="s">
        <v>253</v>
      </c>
      <c r="B61">
        <v>4.3</v>
      </c>
      <c r="C61">
        <v>534</v>
      </c>
    </row>
    <row r="62" spans="1:3" x14ac:dyDescent="0.3">
      <c r="A62" t="s">
        <v>159</v>
      </c>
      <c r="B62">
        <v>4.3</v>
      </c>
      <c r="C62">
        <v>158</v>
      </c>
    </row>
    <row r="63" spans="1:3" x14ac:dyDescent="0.3">
      <c r="A63" t="s">
        <v>161</v>
      </c>
      <c r="B63">
        <v>4.2</v>
      </c>
      <c r="C63">
        <v>202</v>
      </c>
    </row>
    <row r="64" spans="1:3" x14ac:dyDescent="0.3">
      <c r="A64" t="s">
        <v>221</v>
      </c>
      <c r="B64">
        <v>4.5</v>
      </c>
      <c r="C64">
        <v>145</v>
      </c>
    </row>
    <row r="65" spans="1:3" x14ac:dyDescent="0.3">
      <c r="A65" t="s">
        <v>128</v>
      </c>
      <c r="B65">
        <v>4.2</v>
      </c>
      <c r="C65">
        <v>513</v>
      </c>
    </row>
    <row r="66" spans="1:3" x14ac:dyDescent="0.3">
      <c r="A66" t="s">
        <v>240</v>
      </c>
      <c r="B66">
        <v>4.0999999999999996</v>
      </c>
      <c r="C66">
        <v>160</v>
      </c>
    </row>
    <row r="67" spans="1:3" x14ac:dyDescent="0.3">
      <c r="A67" t="s">
        <v>589</v>
      </c>
      <c r="B67">
        <v>4</v>
      </c>
      <c r="C67">
        <v>924</v>
      </c>
    </row>
    <row r="68" spans="1:3" x14ac:dyDescent="0.3">
      <c r="A68" t="s">
        <v>164</v>
      </c>
      <c r="B68">
        <v>4</v>
      </c>
      <c r="C68">
        <v>208</v>
      </c>
    </row>
    <row r="69" spans="1:3" x14ac:dyDescent="0.3">
      <c r="A69" t="s">
        <v>591</v>
      </c>
      <c r="B69">
        <v>3.2</v>
      </c>
      <c r="C69">
        <v>437</v>
      </c>
    </row>
    <row r="70" spans="1:3" x14ac:dyDescent="0.3">
      <c r="A70" t="s">
        <v>543</v>
      </c>
      <c r="B70">
        <v>4.7</v>
      </c>
      <c r="C70">
        <v>116</v>
      </c>
    </row>
    <row r="71" spans="1:3" x14ac:dyDescent="0.3">
      <c r="A71" t="s">
        <v>130</v>
      </c>
      <c r="B71">
        <v>4.2</v>
      </c>
      <c r="C71">
        <v>465</v>
      </c>
    </row>
    <row r="72" spans="1:3" x14ac:dyDescent="0.3">
      <c r="A72" t="s">
        <v>132</v>
      </c>
      <c r="B72">
        <v>3.3</v>
      </c>
      <c r="C72">
        <v>314</v>
      </c>
    </row>
    <row r="73" spans="1:3" x14ac:dyDescent="0.3">
      <c r="A73" t="s">
        <v>272</v>
      </c>
      <c r="B73">
        <v>4.4000000000000004</v>
      </c>
      <c r="C73">
        <v>490</v>
      </c>
    </row>
    <row r="74" spans="1:3" x14ac:dyDescent="0.3">
      <c r="A74" t="s">
        <v>178</v>
      </c>
      <c r="B74">
        <v>4.5</v>
      </c>
      <c r="C74">
        <v>111</v>
      </c>
    </row>
    <row r="75" spans="1:3" x14ac:dyDescent="0.3">
      <c r="A75" t="s">
        <v>84</v>
      </c>
      <c r="B75">
        <v>4.8</v>
      </c>
      <c r="C75">
        <v>275</v>
      </c>
    </row>
    <row r="76" spans="1:3" x14ac:dyDescent="0.3">
      <c r="A76" t="s">
        <v>87</v>
      </c>
      <c r="B76">
        <v>4.7</v>
      </c>
      <c r="C76">
        <v>193</v>
      </c>
    </row>
    <row r="77" spans="1:3" x14ac:dyDescent="0.3">
      <c r="A77" t="s">
        <v>133</v>
      </c>
      <c r="B77">
        <v>4</v>
      </c>
      <c r="C77">
        <v>214</v>
      </c>
    </row>
    <row r="78" spans="1:3" x14ac:dyDescent="0.3">
      <c r="A78" t="s">
        <v>179</v>
      </c>
      <c r="B78">
        <v>4.4000000000000004</v>
      </c>
      <c r="C78">
        <v>280</v>
      </c>
    </row>
    <row r="79" spans="1:3" x14ac:dyDescent="0.3">
      <c r="A79" t="s">
        <v>232</v>
      </c>
      <c r="B79">
        <v>4.3</v>
      </c>
      <c r="C79">
        <v>280</v>
      </c>
    </row>
    <row r="80" spans="1:3" x14ac:dyDescent="0.3">
      <c r="A80" t="s">
        <v>134</v>
      </c>
      <c r="B80">
        <v>4.4000000000000004</v>
      </c>
      <c r="C80">
        <v>566</v>
      </c>
    </row>
    <row r="81" spans="1:3" x14ac:dyDescent="0.3">
      <c r="A81" t="s">
        <v>89</v>
      </c>
      <c r="B81">
        <v>4.8</v>
      </c>
      <c r="C81">
        <v>258</v>
      </c>
    </row>
    <row r="82" spans="1:3" x14ac:dyDescent="0.3">
      <c r="A82" t="s">
        <v>166</v>
      </c>
      <c r="B82">
        <v>3.5</v>
      </c>
      <c r="C82">
        <v>231</v>
      </c>
    </row>
    <row r="83" spans="1:3" x14ac:dyDescent="0.3">
      <c r="A83" t="s">
        <v>29</v>
      </c>
      <c r="B83">
        <v>3.9</v>
      </c>
      <c r="C83">
        <v>315</v>
      </c>
    </row>
    <row r="84" spans="1:3" x14ac:dyDescent="0.3">
      <c r="A84" t="s">
        <v>31</v>
      </c>
      <c r="B84">
        <v>3.7</v>
      </c>
      <c r="C84">
        <v>373</v>
      </c>
    </row>
    <row r="85" spans="1:3" x14ac:dyDescent="0.3">
      <c r="A85" t="s">
        <v>91</v>
      </c>
      <c r="B85">
        <v>4.5</v>
      </c>
      <c r="C85">
        <v>243</v>
      </c>
    </row>
    <row r="86" spans="1:3" x14ac:dyDescent="0.3">
      <c r="A86" t="s">
        <v>135</v>
      </c>
      <c r="B86">
        <v>4.2</v>
      </c>
      <c r="C86">
        <v>350</v>
      </c>
    </row>
    <row r="87" spans="1:3" x14ac:dyDescent="0.3">
      <c r="A87" t="s">
        <v>180</v>
      </c>
      <c r="B87">
        <v>4.7</v>
      </c>
      <c r="C87">
        <v>108</v>
      </c>
    </row>
    <row r="88" spans="1:3" x14ac:dyDescent="0.3">
      <c r="A88" t="s">
        <v>168</v>
      </c>
      <c r="B88">
        <v>3.8</v>
      </c>
      <c r="C88">
        <v>334</v>
      </c>
    </row>
    <row r="89" spans="1:3" x14ac:dyDescent="0.3">
      <c r="A89" t="s">
        <v>32</v>
      </c>
      <c r="B89">
        <v>4</v>
      </c>
      <c r="C89">
        <v>385</v>
      </c>
    </row>
    <row r="90" spans="1:3" x14ac:dyDescent="0.3">
      <c r="A90" t="s">
        <v>560</v>
      </c>
      <c r="B90">
        <v>4.3</v>
      </c>
      <c r="C90">
        <v>343</v>
      </c>
    </row>
    <row r="91" spans="1:3" x14ac:dyDescent="0.3">
      <c r="A91" t="s">
        <v>94</v>
      </c>
      <c r="B91">
        <v>4.5999999999999996</v>
      </c>
      <c r="C91">
        <v>266</v>
      </c>
    </row>
    <row r="92" spans="1:3" x14ac:dyDescent="0.3">
      <c r="A92" t="s">
        <v>233</v>
      </c>
      <c r="B92">
        <v>4</v>
      </c>
      <c r="C92">
        <v>477</v>
      </c>
    </row>
    <row r="93" spans="1:3" x14ac:dyDescent="0.3">
      <c r="A93" t="s">
        <v>256</v>
      </c>
      <c r="B93">
        <v>4.2</v>
      </c>
      <c r="C93">
        <v>383</v>
      </c>
    </row>
    <row r="94" spans="1:3" x14ac:dyDescent="0.3">
      <c r="A94" t="s">
        <v>146</v>
      </c>
      <c r="B94">
        <v>3.5</v>
      </c>
      <c r="C94">
        <v>189</v>
      </c>
    </row>
    <row r="95" spans="1:3" x14ac:dyDescent="0.3">
      <c r="A95" t="s">
        <v>584</v>
      </c>
      <c r="B95">
        <v>4.2</v>
      </c>
      <c r="C95">
        <v>347</v>
      </c>
    </row>
    <row r="96" spans="1:3" x14ac:dyDescent="0.3">
      <c r="A96" t="s">
        <v>171</v>
      </c>
      <c r="B96">
        <v>3.9</v>
      </c>
      <c r="C96">
        <v>466</v>
      </c>
    </row>
    <row r="97" spans="1:3" x14ac:dyDescent="0.3">
      <c r="A97" t="s">
        <v>37</v>
      </c>
      <c r="B97">
        <v>4.5</v>
      </c>
      <c r="C97">
        <v>44</v>
      </c>
    </row>
    <row r="98" spans="1:3" x14ac:dyDescent="0.3">
      <c r="A98" t="s">
        <v>554</v>
      </c>
      <c r="B98">
        <v>4.4000000000000004</v>
      </c>
      <c r="C98">
        <v>558</v>
      </c>
    </row>
    <row r="99" spans="1:3" x14ac:dyDescent="0.3">
      <c r="A99" t="s">
        <v>138</v>
      </c>
      <c r="B99">
        <v>4.3</v>
      </c>
      <c r="C99">
        <v>1001</v>
      </c>
    </row>
    <row r="100" spans="1:3" x14ac:dyDescent="0.3">
      <c r="A100" t="s">
        <v>139</v>
      </c>
      <c r="B100">
        <v>3.9</v>
      </c>
      <c r="C100">
        <v>193</v>
      </c>
    </row>
    <row r="101" spans="1:3" x14ac:dyDescent="0.3">
      <c r="A101" t="s">
        <v>174</v>
      </c>
      <c r="B101">
        <v>3.6</v>
      </c>
      <c r="C101">
        <v>99</v>
      </c>
    </row>
    <row r="102" spans="1:3" x14ac:dyDescent="0.3">
      <c r="A102" t="s">
        <v>147</v>
      </c>
      <c r="B102">
        <v>4.5</v>
      </c>
      <c r="C102">
        <v>95</v>
      </c>
    </row>
    <row r="103" spans="1:3" x14ac:dyDescent="0.3">
      <c r="A103" t="s">
        <v>140</v>
      </c>
      <c r="B103">
        <v>4.3</v>
      </c>
      <c r="C103">
        <v>276</v>
      </c>
    </row>
    <row r="104" spans="1:3" x14ac:dyDescent="0.3">
      <c r="A104" t="s">
        <v>33</v>
      </c>
      <c r="B104">
        <v>3.8</v>
      </c>
      <c r="C104">
        <v>307</v>
      </c>
    </row>
    <row r="105" spans="1:3" x14ac:dyDescent="0.3">
      <c r="A105" t="s">
        <v>97</v>
      </c>
      <c r="B105">
        <v>4.8</v>
      </c>
      <c r="C105">
        <v>42</v>
      </c>
    </row>
    <row r="106" spans="1:3" x14ac:dyDescent="0.3">
      <c r="A106" t="s">
        <v>57</v>
      </c>
      <c r="B106">
        <v>3.9</v>
      </c>
      <c r="C106">
        <v>676</v>
      </c>
    </row>
    <row r="107" spans="1:3" x14ac:dyDescent="0.3">
      <c r="A107" t="s">
        <v>176</v>
      </c>
      <c r="B107">
        <v>4.2</v>
      </c>
      <c r="C107">
        <v>651</v>
      </c>
    </row>
    <row r="108" spans="1:3" x14ac:dyDescent="0.3">
      <c r="A108" t="s">
        <v>580</v>
      </c>
      <c r="B108">
        <v>4.9000000000000004</v>
      </c>
      <c r="C108">
        <v>16</v>
      </c>
    </row>
    <row r="109" spans="1:3" x14ac:dyDescent="0.3">
      <c r="A109" t="s">
        <v>590</v>
      </c>
      <c r="B109">
        <v>4.4000000000000004</v>
      </c>
      <c r="C109">
        <v>353</v>
      </c>
    </row>
    <row r="110" spans="1:3" x14ac:dyDescent="0.3">
      <c r="A110" t="s">
        <v>586</v>
      </c>
      <c r="B110">
        <v>4.3</v>
      </c>
      <c r="C110">
        <v>486</v>
      </c>
    </row>
    <row r="111" spans="1:3" x14ac:dyDescent="0.3">
      <c r="A111" t="s">
        <v>544</v>
      </c>
      <c r="B111">
        <v>4.2</v>
      </c>
      <c r="C111">
        <v>77</v>
      </c>
    </row>
    <row r="112" spans="1:3" x14ac:dyDescent="0.3">
      <c r="A112" t="s">
        <v>142</v>
      </c>
      <c r="B112">
        <v>4.2</v>
      </c>
      <c r="C112">
        <v>392</v>
      </c>
    </row>
    <row r="113" spans="1:3" x14ac:dyDescent="0.3">
      <c r="A113" t="s">
        <v>59</v>
      </c>
      <c r="B113">
        <v>4.3</v>
      </c>
      <c r="C113">
        <v>379</v>
      </c>
    </row>
    <row r="114" spans="1:3" x14ac:dyDescent="0.3">
      <c r="A114" t="s">
        <v>98</v>
      </c>
      <c r="B114">
        <v>4.5999999999999996</v>
      </c>
      <c r="C114">
        <v>270</v>
      </c>
    </row>
    <row r="115" spans="1:3" x14ac:dyDescent="0.3">
      <c r="A115" t="s">
        <v>223</v>
      </c>
      <c r="B115">
        <v>4.5999999999999996</v>
      </c>
      <c r="C115">
        <v>337</v>
      </c>
    </row>
    <row r="116" spans="1:3" x14ac:dyDescent="0.3">
      <c r="A116" t="s">
        <v>182</v>
      </c>
      <c r="B116">
        <v>4.3</v>
      </c>
      <c r="C116">
        <v>359</v>
      </c>
    </row>
    <row r="117" spans="1:3" x14ac:dyDescent="0.3">
      <c r="A117" t="s">
        <v>100</v>
      </c>
      <c r="B117">
        <v>4.5999999999999996</v>
      </c>
      <c r="C117">
        <v>312</v>
      </c>
    </row>
    <row r="118" spans="1:3" x14ac:dyDescent="0.3">
      <c r="A118" t="s">
        <v>102</v>
      </c>
      <c r="B118">
        <v>4.7</v>
      </c>
      <c r="C118">
        <v>212</v>
      </c>
    </row>
    <row r="119" spans="1:3" x14ac:dyDescent="0.3">
      <c r="A119" t="s">
        <v>35</v>
      </c>
      <c r="B119">
        <v>3.9</v>
      </c>
      <c r="C119">
        <v>154</v>
      </c>
    </row>
    <row r="120" spans="1:3" x14ac:dyDescent="0.3">
      <c r="A120" t="s">
        <v>258</v>
      </c>
      <c r="B120">
        <v>4</v>
      </c>
      <c r="C120">
        <v>527</v>
      </c>
    </row>
    <row r="121" spans="1:3" x14ac:dyDescent="0.3">
      <c r="A121" t="s">
        <v>582</v>
      </c>
      <c r="B121">
        <v>4.2</v>
      </c>
      <c r="C121">
        <v>114</v>
      </c>
    </row>
    <row r="122" spans="1:3" x14ac:dyDescent="0.3">
      <c r="A122" t="s">
        <v>226</v>
      </c>
      <c r="B122">
        <v>4.5999999999999996</v>
      </c>
      <c r="C122">
        <v>59</v>
      </c>
    </row>
    <row r="123" spans="1:3" x14ac:dyDescent="0.3">
      <c r="A123" t="s">
        <v>235</v>
      </c>
      <c r="B123">
        <v>4.5999999999999996</v>
      </c>
      <c r="C123">
        <v>215</v>
      </c>
    </row>
    <row r="124" spans="1:3" x14ac:dyDescent="0.3">
      <c r="A124" t="s">
        <v>261</v>
      </c>
      <c r="B124">
        <v>4.0999999999999996</v>
      </c>
      <c r="C124">
        <v>365</v>
      </c>
    </row>
    <row r="125" spans="1:3" x14ac:dyDescent="0.3">
      <c r="A125" t="s">
        <v>144</v>
      </c>
      <c r="B125">
        <v>4.0999999999999996</v>
      </c>
      <c r="C125">
        <v>242</v>
      </c>
    </row>
    <row r="126" spans="1:3" x14ac:dyDescent="0.3">
      <c r="A126" t="s">
        <v>546</v>
      </c>
      <c r="B126">
        <v>4</v>
      </c>
      <c r="C126">
        <v>257</v>
      </c>
    </row>
    <row r="127" spans="1:3" x14ac:dyDescent="0.3">
      <c r="A127" t="s">
        <v>552</v>
      </c>
      <c r="B127">
        <v>4.2</v>
      </c>
      <c r="C127">
        <v>915</v>
      </c>
    </row>
    <row r="128" spans="1:3" x14ac:dyDescent="0.3">
      <c r="A128" t="s">
        <v>238</v>
      </c>
      <c r="B128">
        <v>4.4000000000000004</v>
      </c>
      <c r="C128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BF54-F2E4-47AA-8D38-6E38A8A65A14}">
  <dimension ref="A1:D147"/>
  <sheetViews>
    <sheetView topLeftCell="A25" workbookViewId="0">
      <selection activeCell="A40" sqref="A40"/>
    </sheetView>
  </sheetViews>
  <sheetFormatPr defaultRowHeight="14.4" x14ac:dyDescent="0.3"/>
  <cols>
    <col min="1" max="1" width="33.6640625" customWidth="1"/>
    <col min="2" max="2" width="19.6640625" style="15" hidden="1" customWidth="1"/>
    <col min="3" max="3" width="16.77734375" style="15" customWidth="1"/>
  </cols>
  <sheetData>
    <row r="1" spans="1:4" s="16" customFormat="1" ht="28.8" x14ac:dyDescent="0.3">
      <c r="A1" s="16" t="s">
        <v>537</v>
      </c>
      <c r="B1" s="16" t="s">
        <v>538</v>
      </c>
      <c r="C1" s="16" t="s">
        <v>539</v>
      </c>
    </row>
    <row r="2" spans="1:4" x14ac:dyDescent="0.3">
      <c r="A2" t="s">
        <v>43</v>
      </c>
      <c r="B2" s="15">
        <v>121</v>
      </c>
      <c r="C2" s="15">
        <v>110</v>
      </c>
      <c r="D2" t="e">
        <f>VLOOKUP(A2, 'Main Data'!#REF!, 1, FALSE)</f>
        <v>#REF!</v>
      </c>
    </row>
    <row r="3" spans="1:4" x14ac:dyDescent="0.3">
      <c r="A3" t="s">
        <v>45</v>
      </c>
      <c r="B3" s="15">
        <v>117</v>
      </c>
      <c r="C3" s="15">
        <v>106</v>
      </c>
      <c r="D3" t="e">
        <f>VLOOKUP(A3, 'Main Data'!#REF!, 1, FALSE)</f>
        <v>#REF!</v>
      </c>
    </row>
    <row r="4" spans="1:4" x14ac:dyDescent="0.3">
      <c r="A4" t="s">
        <v>17</v>
      </c>
      <c r="B4" s="15">
        <v>124</v>
      </c>
      <c r="C4" s="15">
        <v>116</v>
      </c>
      <c r="D4" t="e">
        <f>VLOOKUP(A4, 'Main Data'!#REF!, 1, FALSE)</f>
        <v>#REF!</v>
      </c>
    </row>
    <row r="5" spans="1:4" x14ac:dyDescent="0.3">
      <c r="A5" t="s">
        <v>48</v>
      </c>
      <c r="B5" s="15">
        <v>139</v>
      </c>
      <c r="C5" s="15">
        <v>124</v>
      </c>
      <c r="D5" t="e">
        <f>VLOOKUP(A5, 'Main Data'!#REF!, 1, FALSE)</f>
        <v>#REF!</v>
      </c>
    </row>
    <row r="6" spans="1:4" x14ac:dyDescent="0.3">
      <c r="A6" t="s">
        <v>20</v>
      </c>
      <c r="B6" s="15">
        <v>122</v>
      </c>
      <c r="C6" s="15">
        <v>112</v>
      </c>
      <c r="D6" t="e">
        <f>VLOOKUP(A6, 'Main Data'!#REF!, 1, FALSE)</f>
        <v>#REF!</v>
      </c>
    </row>
    <row r="7" spans="1:4" x14ac:dyDescent="0.3">
      <c r="A7" t="s">
        <v>22</v>
      </c>
      <c r="B7" s="15">
        <v>139</v>
      </c>
      <c r="C7" s="15" t="s">
        <v>540</v>
      </c>
      <c r="D7" t="e">
        <f>VLOOKUP(A7, 'Main Data'!#REF!, 1, FALSE)</f>
        <v>#REF!</v>
      </c>
    </row>
    <row r="8" spans="1:4" x14ac:dyDescent="0.3">
      <c r="A8" t="s">
        <v>24</v>
      </c>
      <c r="B8" s="15">
        <v>143</v>
      </c>
      <c r="C8" s="15">
        <v>139</v>
      </c>
      <c r="D8" t="e">
        <f>VLOOKUP(A8, 'Main Data'!#REF!, 1, FALSE)</f>
        <v>#REF!</v>
      </c>
    </row>
    <row r="9" spans="1:4" x14ac:dyDescent="0.3">
      <c r="A9" t="s">
        <v>589</v>
      </c>
      <c r="B9" s="15" t="s">
        <v>541</v>
      </c>
      <c r="C9" s="15">
        <v>111</v>
      </c>
      <c r="D9" t="e">
        <f>VLOOKUP(A9, 'Main Data'!#REF!, 1, FALSE)</f>
        <v>#REF!</v>
      </c>
    </row>
    <row r="10" spans="1:4" x14ac:dyDescent="0.3">
      <c r="A10" t="s">
        <v>29</v>
      </c>
      <c r="B10" s="15">
        <v>122</v>
      </c>
      <c r="C10" s="15">
        <v>121</v>
      </c>
      <c r="D10" t="e">
        <f>VLOOKUP(A10, 'Main Data'!#REF!, 1, FALSE)</f>
        <v>#REF!</v>
      </c>
    </row>
    <row r="11" spans="1:4" x14ac:dyDescent="0.3">
      <c r="A11" t="s">
        <v>31</v>
      </c>
      <c r="B11" s="15">
        <v>127</v>
      </c>
      <c r="C11" s="15">
        <v>117</v>
      </c>
      <c r="D11" t="e">
        <f>VLOOKUP(A11, 'Main Data'!#REF!, 1, FALSE)</f>
        <v>#REF!</v>
      </c>
    </row>
    <row r="12" spans="1:4" x14ac:dyDescent="0.3">
      <c r="A12" t="s">
        <v>33</v>
      </c>
      <c r="B12" s="15">
        <v>131</v>
      </c>
      <c r="C12" s="15">
        <v>126</v>
      </c>
      <c r="D12" t="e">
        <f>VLOOKUP(A12, 'Main Data'!#REF!, 1, FALSE)</f>
        <v>#REF!</v>
      </c>
    </row>
    <row r="13" spans="1:4" x14ac:dyDescent="0.3">
      <c r="A13" t="s">
        <v>37</v>
      </c>
      <c r="B13" s="15">
        <v>128</v>
      </c>
      <c r="C13" s="15">
        <v>122</v>
      </c>
      <c r="D13" t="e">
        <f>VLOOKUP(A13, 'Main Data'!#REF!, 1, FALSE)</f>
        <v>#REF!</v>
      </c>
    </row>
    <row r="14" spans="1:4" x14ac:dyDescent="0.3">
      <c r="A14" t="s">
        <v>117</v>
      </c>
      <c r="B14" s="15">
        <v>141</v>
      </c>
      <c r="C14" s="15">
        <v>133</v>
      </c>
      <c r="D14" t="e">
        <f>VLOOKUP(A14, 'Main Data'!#REF!, 1, FALSE)</f>
        <v>#REF!</v>
      </c>
    </row>
    <row r="15" spans="1:4" x14ac:dyDescent="0.3">
      <c r="A15" t="s">
        <v>50</v>
      </c>
      <c r="B15" s="15">
        <v>127</v>
      </c>
      <c r="C15" s="15">
        <v>121</v>
      </c>
      <c r="D15" t="e">
        <f>VLOOKUP(A15, 'Main Data'!#REF!, 1, FALSE)</f>
        <v>#REF!</v>
      </c>
    </row>
    <row r="16" spans="1:4" x14ac:dyDescent="0.3">
      <c r="A16" t="s">
        <v>53</v>
      </c>
      <c r="B16" s="15">
        <v>120</v>
      </c>
      <c r="C16" s="15">
        <v>113</v>
      </c>
      <c r="D16" t="e">
        <f>VLOOKUP(A16, 'Main Data'!#REF!, 1, FALSE)</f>
        <v>#REF!</v>
      </c>
    </row>
    <row r="17" spans="1:4" x14ac:dyDescent="0.3">
      <c r="A17" t="s">
        <v>55</v>
      </c>
      <c r="B17" s="15">
        <v>121</v>
      </c>
      <c r="C17" s="15">
        <v>114</v>
      </c>
      <c r="D17" t="e">
        <f>VLOOKUP(A17, 'Main Data'!#REF!, 1, FALSE)</f>
        <v>#REF!</v>
      </c>
    </row>
    <row r="18" spans="1:4" x14ac:dyDescent="0.3">
      <c r="A18" t="s">
        <v>57</v>
      </c>
      <c r="B18" s="15">
        <v>126</v>
      </c>
      <c r="C18" s="15">
        <v>118</v>
      </c>
      <c r="D18" t="e">
        <f>VLOOKUP(A18, 'Main Data'!#REF!, 1, FALSE)</f>
        <v>#REF!</v>
      </c>
    </row>
    <row r="19" spans="1:4" x14ac:dyDescent="0.3">
      <c r="A19" t="s">
        <v>59</v>
      </c>
      <c r="B19" s="15">
        <v>136</v>
      </c>
      <c r="C19" s="15">
        <v>128</v>
      </c>
      <c r="D19" t="e">
        <f>VLOOKUP(A19, 'Main Data'!#REF!, 1, FALSE)</f>
        <v>#REF!</v>
      </c>
    </row>
    <row r="20" spans="1:4" x14ac:dyDescent="0.3">
      <c r="A20" t="s">
        <v>61</v>
      </c>
      <c r="B20" s="15">
        <v>130</v>
      </c>
      <c r="C20" s="15">
        <v>124</v>
      </c>
      <c r="D20" t="e">
        <f>VLOOKUP(A20, 'Main Data'!#REF!, 1, FALSE)</f>
        <v>#REF!</v>
      </c>
    </row>
    <row r="21" spans="1:4" x14ac:dyDescent="0.3">
      <c r="A21" t="s">
        <v>62</v>
      </c>
      <c r="B21" s="15">
        <v>135</v>
      </c>
      <c r="C21" s="15">
        <v>129</v>
      </c>
      <c r="D21" t="e">
        <f>VLOOKUP(A21, 'Main Data'!#REF!, 1, FALSE)</f>
        <v>#REF!</v>
      </c>
    </row>
    <row r="22" spans="1:4" x14ac:dyDescent="0.3">
      <c r="A22" t="s">
        <v>66</v>
      </c>
      <c r="B22" s="15">
        <v>136</v>
      </c>
      <c r="C22" s="15">
        <v>128</v>
      </c>
      <c r="D22" t="e">
        <f>VLOOKUP(A22, 'Main Data'!#REF!, 1, FALSE)</f>
        <v>#REF!</v>
      </c>
    </row>
    <row r="23" spans="1:4" x14ac:dyDescent="0.3">
      <c r="A23" t="s">
        <v>70</v>
      </c>
      <c r="B23" s="15">
        <v>135</v>
      </c>
      <c r="C23" s="15">
        <v>128</v>
      </c>
      <c r="D23" t="e">
        <f>VLOOKUP(A23, 'Main Data'!#REF!, 1, FALSE)</f>
        <v>#REF!</v>
      </c>
    </row>
    <row r="24" spans="1:4" x14ac:dyDescent="0.3">
      <c r="A24" t="s">
        <v>72</v>
      </c>
      <c r="B24" s="15">
        <v>139</v>
      </c>
      <c r="C24" s="15">
        <v>132</v>
      </c>
      <c r="D24" t="e">
        <f>VLOOKUP(A24, 'Main Data'!#REF!, 1, FALSE)</f>
        <v>#REF!</v>
      </c>
    </row>
    <row r="25" spans="1:4" x14ac:dyDescent="0.3">
      <c r="A25" t="s">
        <v>74</v>
      </c>
      <c r="B25" s="15">
        <v>140</v>
      </c>
      <c r="C25" s="15">
        <v>133</v>
      </c>
      <c r="D25" t="e">
        <f>VLOOKUP(A25, 'Main Data'!#REF!, 1, FALSE)</f>
        <v>#REF!</v>
      </c>
    </row>
    <row r="26" spans="1:4" x14ac:dyDescent="0.3">
      <c r="A26" t="s">
        <v>76</v>
      </c>
      <c r="B26" s="15">
        <v>137</v>
      </c>
      <c r="C26" s="15">
        <v>131</v>
      </c>
      <c r="D26" t="e">
        <f>VLOOKUP(A26, 'Main Data'!#REF!, 1, FALSE)</f>
        <v>#REF!</v>
      </c>
    </row>
    <row r="27" spans="1:4" x14ac:dyDescent="0.3">
      <c r="A27" t="s">
        <v>78</v>
      </c>
      <c r="B27" s="15">
        <v>131</v>
      </c>
      <c r="C27" s="15">
        <v>123</v>
      </c>
      <c r="D27" t="e">
        <f>VLOOKUP(A27, 'Main Data'!#REF!, 1, FALSE)</f>
        <v>#REF!</v>
      </c>
    </row>
    <row r="28" spans="1:4" x14ac:dyDescent="0.3">
      <c r="A28" t="s">
        <v>79</v>
      </c>
      <c r="B28" s="15">
        <v>141</v>
      </c>
      <c r="C28" s="15">
        <v>133</v>
      </c>
      <c r="D28" t="e">
        <f>VLOOKUP(A28, 'Main Data'!#REF!, 1, FALSE)</f>
        <v>#REF!</v>
      </c>
    </row>
    <row r="29" spans="1:4" x14ac:dyDescent="0.3">
      <c r="A29" t="s">
        <v>81</v>
      </c>
      <c r="B29" s="15">
        <v>135</v>
      </c>
      <c r="C29" s="15">
        <v>128</v>
      </c>
      <c r="D29" t="e">
        <f>VLOOKUP(A29, 'Main Data'!#REF!, 1, FALSE)</f>
        <v>#REF!</v>
      </c>
    </row>
    <row r="30" spans="1:4" x14ac:dyDescent="0.3">
      <c r="A30" t="s">
        <v>84</v>
      </c>
      <c r="B30" s="15">
        <v>145</v>
      </c>
      <c r="C30" s="15">
        <v>137</v>
      </c>
      <c r="D30" t="e">
        <f>VLOOKUP(A30, 'Main Data'!#REF!, 1, FALSE)</f>
        <v>#REF!</v>
      </c>
    </row>
    <row r="31" spans="1:4" x14ac:dyDescent="0.3">
      <c r="A31" t="s">
        <v>87</v>
      </c>
      <c r="B31" s="15">
        <v>137</v>
      </c>
      <c r="C31" s="15">
        <v>131</v>
      </c>
      <c r="D31" t="e">
        <f>VLOOKUP(A31, 'Main Data'!#REF!, 1, FALSE)</f>
        <v>#REF!</v>
      </c>
    </row>
    <row r="32" spans="1:4" x14ac:dyDescent="0.3">
      <c r="A32" t="s">
        <v>89</v>
      </c>
      <c r="B32" s="15">
        <v>136</v>
      </c>
      <c r="C32" s="15">
        <v>130</v>
      </c>
      <c r="D32" t="e">
        <f>VLOOKUP(A32, 'Main Data'!#REF!, 1, FALSE)</f>
        <v>#REF!</v>
      </c>
    </row>
    <row r="33" spans="1:4" x14ac:dyDescent="0.3">
      <c r="A33" t="s">
        <v>91</v>
      </c>
      <c r="B33" s="15">
        <v>139</v>
      </c>
      <c r="C33" s="15">
        <v>133</v>
      </c>
      <c r="D33" t="e">
        <f>VLOOKUP(A33, 'Main Data'!#REF!, 1, FALSE)</f>
        <v>#REF!</v>
      </c>
    </row>
    <row r="34" spans="1:4" x14ac:dyDescent="0.3">
      <c r="A34" t="s">
        <v>94</v>
      </c>
      <c r="B34" s="15">
        <v>134</v>
      </c>
      <c r="C34" s="15">
        <v>128</v>
      </c>
      <c r="D34" t="e">
        <f>VLOOKUP(A34, 'Main Data'!#REF!, 1, FALSE)</f>
        <v>#REF!</v>
      </c>
    </row>
    <row r="35" spans="1:4" x14ac:dyDescent="0.3">
      <c r="A35" t="s">
        <v>97</v>
      </c>
      <c r="B35" s="15">
        <v>122</v>
      </c>
      <c r="C35" s="15">
        <v>115</v>
      </c>
      <c r="D35" t="e">
        <f>VLOOKUP(A35, 'Main Data'!#REF!, 1, FALSE)</f>
        <v>#REF!</v>
      </c>
    </row>
    <row r="36" spans="1:4" x14ac:dyDescent="0.3">
      <c r="A36" t="s">
        <v>98</v>
      </c>
      <c r="B36" s="15">
        <v>141</v>
      </c>
      <c r="C36" s="15">
        <v>132</v>
      </c>
      <c r="D36" t="e">
        <f>VLOOKUP(A36, 'Main Data'!#REF!, 1, FALSE)</f>
        <v>#REF!</v>
      </c>
    </row>
    <row r="37" spans="1:4" x14ac:dyDescent="0.3">
      <c r="A37" t="s">
        <v>100</v>
      </c>
      <c r="B37" s="15">
        <v>138</v>
      </c>
      <c r="C37" s="15">
        <v>131</v>
      </c>
      <c r="D37" t="e">
        <f>VLOOKUP(A37, 'Main Data'!#REF!, 1, FALSE)</f>
        <v>#REF!</v>
      </c>
    </row>
    <row r="38" spans="1:4" x14ac:dyDescent="0.3">
      <c r="A38" t="s">
        <v>102</v>
      </c>
      <c r="B38" s="15">
        <v>139</v>
      </c>
      <c r="C38" s="15">
        <v>132</v>
      </c>
      <c r="D38" t="e">
        <f>VLOOKUP(A38, 'Main Data'!#REF!, 1, FALSE)</f>
        <v>#REF!</v>
      </c>
    </row>
    <row r="39" spans="1:4" x14ac:dyDescent="0.3">
      <c r="A39" t="s">
        <v>155</v>
      </c>
      <c r="B39" s="15">
        <v>124</v>
      </c>
      <c r="C39" s="15">
        <v>118</v>
      </c>
      <c r="D39" t="e">
        <f>VLOOKUP(A39, 'Main Data'!#REF!, 1, FALSE)</f>
        <v>#REF!</v>
      </c>
    </row>
    <row r="40" spans="1:4" x14ac:dyDescent="0.3">
      <c r="A40" t="s">
        <v>108</v>
      </c>
      <c r="B40" s="15">
        <v>129</v>
      </c>
      <c r="C40" s="15">
        <v>121</v>
      </c>
      <c r="D40" t="e">
        <f>VLOOKUP(A40, 'Main Data'!#REF!, 1, FALSE)</f>
        <v>#REF!</v>
      </c>
    </row>
    <row r="41" spans="1:4" x14ac:dyDescent="0.3">
      <c r="A41" t="s">
        <v>109</v>
      </c>
      <c r="B41" s="15">
        <v>134</v>
      </c>
      <c r="C41" s="15">
        <v>126</v>
      </c>
      <c r="D41" t="e">
        <f>VLOOKUP(A41, 'Main Data'!#REF!, 1, FALSE)</f>
        <v>#REF!</v>
      </c>
    </row>
    <row r="42" spans="1:4" x14ac:dyDescent="0.3">
      <c r="A42" t="s">
        <v>110</v>
      </c>
      <c r="B42" s="15">
        <v>133</v>
      </c>
      <c r="C42" s="15">
        <v>125</v>
      </c>
      <c r="D42" t="e">
        <f>VLOOKUP(A42, 'Main Data'!#REF!, 1, FALSE)</f>
        <v>#REF!</v>
      </c>
    </row>
    <row r="43" spans="1:4" x14ac:dyDescent="0.3">
      <c r="A43" t="s">
        <v>112</v>
      </c>
      <c r="B43" s="15">
        <v>138</v>
      </c>
      <c r="C43" s="15">
        <v>130</v>
      </c>
      <c r="D43" t="e">
        <f>VLOOKUP(A43, 'Main Data'!#REF!, 1, FALSE)</f>
        <v>#REF!</v>
      </c>
    </row>
    <row r="44" spans="1:4" x14ac:dyDescent="0.3">
      <c r="A44" t="s">
        <v>114</v>
      </c>
      <c r="B44" s="15">
        <v>127</v>
      </c>
      <c r="C44" s="15">
        <v>119</v>
      </c>
      <c r="D44" t="e">
        <f>VLOOKUP(A44, 'Main Data'!#REF!, 1, FALSE)</f>
        <v>#REF!</v>
      </c>
    </row>
    <row r="45" spans="1:4" x14ac:dyDescent="0.3">
      <c r="A45" t="s">
        <v>116</v>
      </c>
      <c r="B45" s="15">
        <v>142</v>
      </c>
      <c r="C45" s="15">
        <v>134</v>
      </c>
      <c r="D45" t="e">
        <f>VLOOKUP(A45, 'Main Data'!#REF!, 1, FALSE)</f>
        <v>#REF!</v>
      </c>
    </row>
    <row r="46" spans="1:4" x14ac:dyDescent="0.3">
      <c r="A46" t="s">
        <v>117</v>
      </c>
      <c r="B46" s="15">
        <v>132</v>
      </c>
      <c r="C46" s="15">
        <v>124</v>
      </c>
      <c r="D46" t="e">
        <f>VLOOKUP(A46, 'Main Data'!#REF!, 1, FALSE)</f>
        <v>#REF!</v>
      </c>
    </row>
    <row r="47" spans="1:4" x14ac:dyDescent="0.3">
      <c r="A47" t="s">
        <v>119</v>
      </c>
      <c r="B47" s="15">
        <v>143</v>
      </c>
      <c r="C47" s="15">
        <v>134</v>
      </c>
      <c r="D47" t="e">
        <f>VLOOKUP(A47, 'Main Data'!#REF!, 1, FALSE)</f>
        <v>#REF!</v>
      </c>
    </row>
    <row r="48" spans="1:4" x14ac:dyDescent="0.3">
      <c r="A48" t="s">
        <v>121</v>
      </c>
      <c r="B48" s="15">
        <v>127</v>
      </c>
      <c r="C48" s="15">
        <v>119</v>
      </c>
      <c r="D48" t="e">
        <f>VLOOKUP(A48, 'Main Data'!#REF!, 1, FALSE)</f>
        <v>#REF!</v>
      </c>
    </row>
    <row r="49" spans="1:4" x14ac:dyDescent="0.3">
      <c r="A49" t="s">
        <v>123</v>
      </c>
      <c r="B49" s="15">
        <v>132</v>
      </c>
      <c r="C49" s="15">
        <v>124</v>
      </c>
      <c r="D49" t="e">
        <f>VLOOKUP(A49, 'Main Data'!#REF!, 1, FALSE)</f>
        <v>#REF!</v>
      </c>
    </row>
    <row r="50" spans="1:4" x14ac:dyDescent="0.3">
      <c r="A50" t="s">
        <v>125</v>
      </c>
      <c r="B50" s="15">
        <v>125</v>
      </c>
      <c r="C50" s="15">
        <v>117</v>
      </c>
      <c r="D50" t="e">
        <f>VLOOKUP(A50, 'Main Data'!#REF!, 1, FALSE)</f>
        <v>#REF!</v>
      </c>
    </row>
    <row r="51" spans="1:4" x14ac:dyDescent="0.3">
      <c r="A51" t="s">
        <v>127</v>
      </c>
      <c r="B51" s="15">
        <v>127</v>
      </c>
      <c r="C51" s="15">
        <v>120</v>
      </c>
      <c r="D51" t="e">
        <f>VLOOKUP(A51, 'Main Data'!#REF!, 1, FALSE)</f>
        <v>#REF!</v>
      </c>
    </row>
    <row r="52" spans="1:4" x14ac:dyDescent="0.3">
      <c r="A52" t="s">
        <v>128</v>
      </c>
      <c r="B52" s="15">
        <v>139</v>
      </c>
      <c r="C52" s="15">
        <v>131</v>
      </c>
      <c r="D52" t="e">
        <f>VLOOKUP(A52, 'Main Data'!#REF!, 1, FALSE)</f>
        <v>#REF!</v>
      </c>
    </row>
    <row r="53" spans="1:4" x14ac:dyDescent="0.3">
      <c r="A53" t="s">
        <v>130</v>
      </c>
      <c r="B53" s="15">
        <v>137</v>
      </c>
      <c r="C53" s="15">
        <v>129</v>
      </c>
      <c r="D53" t="e">
        <f>VLOOKUP(A53, 'Main Data'!#REF!, 1, FALSE)</f>
        <v>#REF!</v>
      </c>
    </row>
    <row r="54" spans="1:4" x14ac:dyDescent="0.3">
      <c r="A54" t="s">
        <v>132</v>
      </c>
      <c r="B54" s="15">
        <v>128</v>
      </c>
      <c r="C54" s="15">
        <v>119</v>
      </c>
      <c r="D54" t="e">
        <f>VLOOKUP(A54, 'Main Data'!#REF!, 1, FALSE)</f>
        <v>#REF!</v>
      </c>
    </row>
    <row r="55" spans="1:4" x14ac:dyDescent="0.3">
      <c r="A55" t="s">
        <v>133</v>
      </c>
      <c r="B55" s="15">
        <v>126</v>
      </c>
      <c r="C55" s="15">
        <v>118</v>
      </c>
      <c r="D55" t="e">
        <f>VLOOKUP(A55, 'Main Data'!#REF!, 1, FALSE)</f>
        <v>#REF!</v>
      </c>
    </row>
    <row r="56" spans="1:4" x14ac:dyDescent="0.3">
      <c r="A56" t="s">
        <v>134</v>
      </c>
      <c r="B56" s="15">
        <v>135</v>
      </c>
      <c r="C56" s="15">
        <v>127</v>
      </c>
      <c r="D56" t="e">
        <f>VLOOKUP(A56, 'Main Data'!#REF!, 1, FALSE)</f>
        <v>#REF!</v>
      </c>
    </row>
    <row r="57" spans="1:4" x14ac:dyDescent="0.3">
      <c r="A57" t="s">
        <v>135</v>
      </c>
      <c r="B57" s="15">
        <v>122</v>
      </c>
      <c r="C57" s="15">
        <v>115</v>
      </c>
      <c r="D57" t="e">
        <f>VLOOKUP(A57, 'Main Data'!#REF!, 1, FALSE)</f>
        <v>#REF!</v>
      </c>
    </row>
    <row r="58" spans="1:4" x14ac:dyDescent="0.3">
      <c r="A58" t="s">
        <v>138</v>
      </c>
      <c r="B58" s="15">
        <v>146</v>
      </c>
      <c r="C58" s="15">
        <v>138</v>
      </c>
      <c r="D58" t="e">
        <f>VLOOKUP(A58, 'Main Data'!#REF!, 1, FALSE)</f>
        <v>#REF!</v>
      </c>
    </row>
    <row r="59" spans="1:4" x14ac:dyDescent="0.3">
      <c r="A59" t="s">
        <v>139</v>
      </c>
      <c r="B59" s="15">
        <v>115</v>
      </c>
      <c r="C59" s="15">
        <v>108</v>
      </c>
      <c r="D59" t="e">
        <f>VLOOKUP(A59, 'Main Data'!#REF!, 1, FALSE)</f>
        <v>#REF!</v>
      </c>
    </row>
    <row r="60" spans="1:4" x14ac:dyDescent="0.3">
      <c r="A60" t="s">
        <v>140</v>
      </c>
      <c r="B60" s="15">
        <v>125</v>
      </c>
      <c r="C60" s="15">
        <v>117</v>
      </c>
      <c r="D60" t="e">
        <f>VLOOKUP(A60, 'Main Data'!#REF!, 1, FALSE)</f>
        <v>#REF!</v>
      </c>
    </row>
    <row r="61" spans="1:4" x14ac:dyDescent="0.3">
      <c r="A61" t="s">
        <v>142</v>
      </c>
      <c r="B61" s="15">
        <v>120</v>
      </c>
      <c r="C61" s="15">
        <v>112</v>
      </c>
      <c r="D61" t="e">
        <f>VLOOKUP(A61, 'Main Data'!#REF!, 1, FALSE)</f>
        <v>#REF!</v>
      </c>
    </row>
    <row r="62" spans="1:4" x14ac:dyDescent="0.3">
      <c r="A62" t="s">
        <v>144</v>
      </c>
      <c r="B62" s="15">
        <v>126</v>
      </c>
      <c r="C62" s="15">
        <v>118</v>
      </c>
      <c r="D62" t="e">
        <f>VLOOKUP(A62, 'Main Data'!#REF!, 1, FALSE)</f>
        <v>#REF!</v>
      </c>
    </row>
    <row r="63" spans="1:4" x14ac:dyDescent="0.3">
      <c r="A63" t="s">
        <v>145</v>
      </c>
      <c r="B63" s="15">
        <v>120</v>
      </c>
      <c r="C63" s="15">
        <v>113</v>
      </c>
      <c r="D63" t="e">
        <f>VLOOKUP(A63, 'Main Data'!#REF!, 1, FALSE)</f>
        <v>#REF!</v>
      </c>
    </row>
    <row r="64" spans="1:4" x14ac:dyDescent="0.3">
      <c r="A64" t="s">
        <v>146</v>
      </c>
      <c r="B64" s="15">
        <v>118</v>
      </c>
      <c r="C64" s="15">
        <v>110</v>
      </c>
      <c r="D64" t="e">
        <f>VLOOKUP(A64, 'Main Data'!#REF!, 1, FALSE)</f>
        <v>#REF!</v>
      </c>
    </row>
    <row r="65" spans="1:4" x14ac:dyDescent="0.3">
      <c r="A65" t="s">
        <v>147</v>
      </c>
      <c r="B65" s="15">
        <v>115</v>
      </c>
      <c r="C65" s="15">
        <v>107</v>
      </c>
      <c r="D65" t="e">
        <f>VLOOKUP(A65, 'Main Data'!#REF!, 1, FALSE)</f>
        <v>#REF!</v>
      </c>
    </row>
    <row r="66" spans="1:4" x14ac:dyDescent="0.3">
      <c r="A66" t="s">
        <v>148</v>
      </c>
      <c r="B66" s="15" t="s">
        <v>540</v>
      </c>
      <c r="C66" s="15" t="s">
        <v>540</v>
      </c>
      <c r="D66" t="e">
        <f>VLOOKUP(A66, 'Main Data'!#REF!, 1, FALSE)</f>
        <v>#REF!</v>
      </c>
    </row>
    <row r="67" spans="1:4" x14ac:dyDescent="0.3">
      <c r="A67" t="s">
        <v>149</v>
      </c>
      <c r="B67" s="15">
        <v>122</v>
      </c>
      <c r="C67" s="15">
        <v>114</v>
      </c>
      <c r="D67" t="e">
        <f>VLOOKUP(A67, 'Main Data'!#REF!, 1, FALSE)</f>
        <v>#REF!</v>
      </c>
    </row>
    <row r="68" spans="1:4" x14ac:dyDescent="0.3">
      <c r="A68" t="s">
        <v>151</v>
      </c>
      <c r="B68" s="15">
        <v>115</v>
      </c>
      <c r="C68" s="15">
        <v>108</v>
      </c>
      <c r="D68" t="e">
        <f>VLOOKUP(A68, 'Main Data'!#REF!, 1, FALSE)</f>
        <v>#REF!</v>
      </c>
    </row>
    <row r="69" spans="1:4" x14ac:dyDescent="0.3">
      <c r="A69" t="s">
        <v>153</v>
      </c>
      <c r="B69" s="15">
        <v>126</v>
      </c>
      <c r="C69" s="15">
        <v>118</v>
      </c>
      <c r="D69" t="e">
        <f>VLOOKUP(A69, 'Main Data'!#REF!, 1, FALSE)</f>
        <v>#REF!</v>
      </c>
    </row>
    <row r="70" spans="1:4" x14ac:dyDescent="0.3">
      <c r="A70" t="s">
        <v>157</v>
      </c>
      <c r="B70" s="15" t="s">
        <v>540</v>
      </c>
      <c r="C70" s="15" t="s">
        <v>540</v>
      </c>
      <c r="D70" t="e">
        <f>VLOOKUP(A70, 'Main Data'!#REF!, 1, FALSE)</f>
        <v>#REF!</v>
      </c>
    </row>
    <row r="71" spans="1:4" x14ac:dyDescent="0.3">
      <c r="A71" t="s">
        <v>159</v>
      </c>
      <c r="B71" s="15">
        <v>118</v>
      </c>
      <c r="C71" s="15">
        <v>110</v>
      </c>
      <c r="D71" t="e">
        <f>VLOOKUP(A71, 'Main Data'!#REF!, 1, FALSE)</f>
        <v>#REF!</v>
      </c>
    </row>
    <row r="72" spans="1:4" x14ac:dyDescent="0.3">
      <c r="A72" t="s">
        <v>161</v>
      </c>
      <c r="B72" s="15">
        <v>136</v>
      </c>
      <c r="C72" s="15">
        <v>127</v>
      </c>
      <c r="D72" t="e">
        <f>VLOOKUP(A72, 'Main Data'!#REF!, 1, FALSE)</f>
        <v>#REF!</v>
      </c>
    </row>
    <row r="73" spans="1:4" x14ac:dyDescent="0.3">
      <c r="A73" t="s">
        <v>164</v>
      </c>
      <c r="B73" s="15">
        <v>120</v>
      </c>
      <c r="C73" s="15">
        <v>112</v>
      </c>
      <c r="D73" t="e">
        <f>VLOOKUP(A73, 'Main Data'!#REF!, 1, FALSE)</f>
        <v>#REF!</v>
      </c>
    </row>
    <row r="74" spans="1:4" x14ac:dyDescent="0.3">
      <c r="A74" t="s">
        <v>166</v>
      </c>
      <c r="B74" s="15">
        <v>137</v>
      </c>
      <c r="C74" s="15">
        <v>129</v>
      </c>
      <c r="D74" t="e">
        <f>VLOOKUP(A74, 'Main Data'!#REF!, 1, FALSE)</f>
        <v>#REF!</v>
      </c>
    </row>
    <row r="75" spans="1:4" x14ac:dyDescent="0.3">
      <c r="A75" t="s">
        <v>168</v>
      </c>
      <c r="B75" s="15">
        <v>122</v>
      </c>
      <c r="C75" s="15">
        <v>115</v>
      </c>
      <c r="D75" t="e">
        <f>VLOOKUP(A75, 'Main Data'!#REF!, 1, FALSE)</f>
        <v>#REF!</v>
      </c>
    </row>
    <row r="76" spans="1:4" x14ac:dyDescent="0.3">
      <c r="A76" t="s">
        <v>171</v>
      </c>
      <c r="B76" s="15">
        <v>131</v>
      </c>
      <c r="C76" s="15">
        <v>123</v>
      </c>
      <c r="D76" t="e">
        <f>VLOOKUP(A76, 'Main Data'!#REF!, 1, FALSE)</f>
        <v>#REF!</v>
      </c>
    </row>
    <row r="77" spans="1:4" x14ac:dyDescent="0.3">
      <c r="A77" t="s">
        <v>174</v>
      </c>
      <c r="B77" s="15">
        <v>115</v>
      </c>
      <c r="C77" s="15">
        <v>107</v>
      </c>
      <c r="D77" t="e">
        <f>VLOOKUP(A77, 'Main Data'!#REF!, 1, FALSE)</f>
        <v>#REF!</v>
      </c>
    </row>
    <row r="78" spans="1:4" x14ac:dyDescent="0.3">
      <c r="A78" t="s">
        <v>176</v>
      </c>
      <c r="B78" s="15">
        <v>121</v>
      </c>
      <c r="C78" s="15">
        <v>114</v>
      </c>
      <c r="D78" t="e">
        <f>VLOOKUP(A78, 'Main Data'!#REF!, 1, FALSE)</f>
        <v>#REF!</v>
      </c>
    </row>
    <row r="79" spans="1:4" x14ac:dyDescent="0.3">
      <c r="A79" t="s">
        <v>178</v>
      </c>
      <c r="B79" s="15">
        <v>140</v>
      </c>
      <c r="C79" s="15">
        <v>132</v>
      </c>
      <c r="D79" t="e">
        <f>VLOOKUP(A79, 'Main Data'!#REF!, 1, FALSE)</f>
        <v>#REF!</v>
      </c>
    </row>
    <row r="80" spans="1:4" x14ac:dyDescent="0.3">
      <c r="A80" t="s">
        <v>179</v>
      </c>
      <c r="B80" s="15">
        <v>135</v>
      </c>
      <c r="C80" s="15">
        <v>127</v>
      </c>
      <c r="D80" t="e">
        <f>VLOOKUP(A80, 'Main Data'!#REF!, 1, FALSE)</f>
        <v>#REF!</v>
      </c>
    </row>
    <row r="81" spans="1:4" x14ac:dyDescent="0.3">
      <c r="A81" t="s">
        <v>180</v>
      </c>
      <c r="B81" s="15">
        <v>139</v>
      </c>
      <c r="C81" s="15">
        <v>131</v>
      </c>
      <c r="D81" t="e">
        <f>VLOOKUP(A81, 'Main Data'!#REF!, 1, FALSE)</f>
        <v>#REF!</v>
      </c>
    </row>
    <row r="82" spans="1:4" x14ac:dyDescent="0.3">
      <c r="A82" t="s">
        <v>182</v>
      </c>
      <c r="B82" s="15">
        <v>133</v>
      </c>
      <c r="C82" s="15">
        <v>125</v>
      </c>
      <c r="D82" t="e">
        <f>VLOOKUP(A82, 'Main Data'!#REF!, 1, FALSE)</f>
        <v>#REF!</v>
      </c>
    </row>
    <row r="83" spans="1:4" x14ac:dyDescent="0.3">
      <c r="A83" t="s">
        <v>211</v>
      </c>
      <c r="B83" s="15">
        <v>138</v>
      </c>
      <c r="C83" s="15">
        <v>131</v>
      </c>
      <c r="D83" t="e">
        <f>VLOOKUP(A83, 'Main Data'!#REF!, 1, FALSE)</f>
        <v>#REF!</v>
      </c>
    </row>
    <row r="84" spans="1:4" x14ac:dyDescent="0.3">
      <c r="A84" t="s">
        <v>214</v>
      </c>
      <c r="B84" s="15">
        <v>130</v>
      </c>
      <c r="C84" s="15">
        <v>124</v>
      </c>
      <c r="D84" t="e">
        <f>VLOOKUP(A84, 'Main Data'!#REF!, 1, FALSE)</f>
        <v>#REF!</v>
      </c>
    </row>
    <row r="85" spans="1:4" x14ac:dyDescent="0.3">
      <c r="A85" t="s">
        <v>216</v>
      </c>
      <c r="B85" s="15">
        <v>131</v>
      </c>
      <c r="C85" s="15">
        <v>125</v>
      </c>
      <c r="D85" t="e">
        <f>VLOOKUP(A85, 'Main Data'!#REF!, 1, FALSE)</f>
        <v>#REF!</v>
      </c>
    </row>
    <row r="86" spans="1:4" x14ac:dyDescent="0.3">
      <c r="A86" t="s">
        <v>220</v>
      </c>
      <c r="B86" s="15">
        <v>112</v>
      </c>
      <c r="C86" s="15">
        <v>105</v>
      </c>
      <c r="D86" t="e">
        <f>VLOOKUP(A86, 'Main Data'!#REF!, 1, FALSE)</f>
        <v>#REF!</v>
      </c>
    </row>
    <row r="87" spans="1:4" x14ac:dyDescent="0.3">
      <c r="A87" t="s">
        <v>221</v>
      </c>
      <c r="B87" s="15">
        <v>134</v>
      </c>
      <c r="C87" s="15">
        <v>127</v>
      </c>
      <c r="D87" t="e">
        <f>VLOOKUP(A87, 'Main Data'!#REF!, 1, FALSE)</f>
        <v>#REF!</v>
      </c>
    </row>
    <row r="88" spans="1:4" x14ac:dyDescent="0.3">
      <c r="A88" t="s">
        <v>223</v>
      </c>
      <c r="B88" s="15">
        <v>144</v>
      </c>
      <c r="C88" s="15">
        <v>136</v>
      </c>
      <c r="D88" t="e">
        <f>VLOOKUP(A88, 'Main Data'!#REF!, 1, FALSE)</f>
        <v>#REF!</v>
      </c>
    </row>
    <row r="89" spans="1:4" x14ac:dyDescent="0.3">
      <c r="A89" t="s">
        <v>226</v>
      </c>
      <c r="B89" s="15">
        <v>128</v>
      </c>
      <c r="C89" s="15">
        <v>121</v>
      </c>
      <c r="D89" t="e">
        <f>VLOOKUP(A89, 'Main Data'!#REF!, 1, FALSE)</f>
        <v>#REF!</v>
      </c>
    </row>
    <row r="90" spans="1:4" x14ac:dyDescent="0.3">
      <c r="A90" t="s">
        <v>228</v>
      </c>
      <c r="B90" s="15">
        <v>126</v>
      </c>
      <c r="C90" s="15">
        <v>119</v>
      </c>
      <c r="D90" t="e">
        <f>VLOOKUP(A90, 'Main Data'!#REF!, 1, FALSE)</f>
        <v>#REF!</v>
      </c>
    </row>
    <row r="91" spans="1:4" x14ac:dyDescent="0.3">
      <c r="A91" t="s">
        <v>230</v>
      </c>
      <c r="B91" s="15">
        <v>124</v>
      </c>
      <c r="C91" s="15">
        <v>117</v>
      </c>
      <c r="D91" t="e">
        <f>VLOOKUP(A91, 'Main Data'!#REF!, 1, FALSE)</f>
        <v>#REF!</v>
      </c>
    </row>
    <row r="92" spans="1:4" x14ac:dyDescent="0.3">
      <c r="A92" t="s">
        <v>232</v>
      </c>
      <c r="B92" s="15">
        <v>136</v>
      </c>
      <c r="C92" s="15">
        <v>128</v>
      </c>
      <c r="D92" t="e">
        <f>VLOOKUP(A92, 'Main Data'!#REF!, 1, FALSE)</f>
        <v>#REF!</v>
      </c>
    </row>
    <row r="93" spans="1:4" x14ac:dyDescent="0.3">
      <c r="A93" t="s">
        <v>233</v>
      </c>
      <c r="B93" s="15">
        <v>125</v>
      </c>
      <c r="C93" s="15">
        <v>118</v>
      </c>
      <c r="D93" t="e">
        <f>VLOOKUP(A93, 'Main Data'!#REF!, 1, FALSE)</f>
        <v>#REF!</v>
      </c>
    </row>
    <row r="94" spans="1:4" x14ac:dyDescent="0.3">
      <c r="A94" t="s">
        <v>235</v>
      </c>
      <c r="B94" s="15">
        <v>133</v>
      </c>
      <c r="C94" s="15">
        <v>126</v>
      </c>
      <c r="D94" t="e">
        <f>VLOOKUP(A94, 'Main Data'!#REF!, 1, FALSE)</f>
        <v>#REF!</v>
      </c>
    </row>
    <row r="95" spans="1:4" x14ac:dyDescent="0.3">
      <c r="A95" t="s">
        <v>238</v>
      </c>
      <c r="B95" s="15">
        <v>115</v>
      </c>
      <c r="C95" s="15">
        <v>108</v>
      </c>
      <c r="D95" t="e">
        <f>VLOOKUP(A95, 'Main Data'!#REF!, 1, FALSE)</f>
        <v>#REF!</v>
      </c>
    </row>
    <row r="96" spans="1:4" x14ac:dyDescent="0.3">
      <c r="A96" t="s">
        <v>240</v>
      </c>
      <c r="B96" s="15">
        <v>110</v>
      </c>
      <c r="C96" s="15">
        <v>102</v>
      </c>
      <c r="D96" t="e">
        <f>VLOOKUP(A96, 'Main Data'!#REF!, 1, FALSE)</f>
        <v>#REF!</v>
      </c>
    </row>
    <row r="97" spans="1:4" x14ac:dyDescent="0.3">
      <c r="A97" t="s">
        <v>607</v>
      </c>
      <c r="B97" s="15">
        <v>115</v>
      </c>
      <c r="C97" s="15">
        <v>108</v>
      </c>
      <c r="D97" t="e">
        <f>VLOOKUP(A97, 'Main Data'!#REF!, 1, FALSE)</f>
        <v>#REF!</v>
      </c>
    </row>
    <row r="98" spans="1:4" x14ac:dyDescent="0.3">
      <c r="A98" t="s">
        <v>243</v>
      </c>
      <c r="B98" s="15">
        <v>111</v>
      </c>
      <c r="C98" s="15">
        <v>104</v>
      </c>
      <c r="D98" t="e">
        <f>VLOOKUP(A98, 'Main Data'!#REF!, 1, FALSE)</f>
        <v>#REF!</v>
      </c>
    </row>
    <row r="99" spans="1:4" x14ac:dyDescent="0.3">
      <c r="A99" t="s">
        <v>245</v>
      </c>
      <c r="B99" s="15">
        <v>125</v>
      </c>
      <c r="C99" s="15">
        <v>118</v>
      </c>
      <c r="D99" t="e">
        <f>VLOOKUP(A99, 'Main Data'!#REF!, 1, FALSE)</f>
        <v>#REF!</v>
      </c>
    </row>
    <row r="100" spans="1:4" x14ac:dyDescent="0.3">
      <c r="A100" t="s">
        <v>248</v>
      </c>
      <c r="B100" s="15">
        <v>116</v>
      </c>
      <c r="C100" s="15">
        <v>109</v>
      </c>
      <c r="D100" t="e">
        <f>VLOOKUP(A100, 'Main Data'!#REF!, 1, FALSE)</f>
        <v>#REF!</v>
      </c>
    </row>
    <row r="101" spans="1:4" x14ac:dyDescent="0.3">
      <c r="A101" t="s">
        <v>251</v>
      </c>
      <c r="B101" s="15">
        <v>118</v>
      </c>
      <c r="C101" s="15">
        <v>111</v>
      </c>
      <c r="D101" t="e">
        <f>VLOOKUP(A101, 'Main Data'!#REF!, 1, FALSE)</f>
        <v>#REF!</v>
      </c>
    </row>
    <row r="102" spans="1:4" x14ac:dyDescent="0.3">
      <c r="A102" t="s">
        <v>253</v>
      </c>
      <c r="B102" s="15">
        <v>141</v>
      </c>
      <c r="C102" s="15">
        <v>132</v>
      </c>
      <c r="D102" t="e">
        <f>VLOOKUP(A102, 'Main Data'!#REF!, 1, FALSE)</f>
        <v>#REF!</v>
      </c>
    </row>
    <row r="103" spans="1:4" x14ac:dyDescent="0.3">
      <c r="A103" t="s">
        <v>256</v>
      </c>
      <c r="B103" s="15">
        <v>119</v>
      </c>
      <c r="C103" s="15">
        <v>112</v>
      </c>
      <c r="D103" t="e">
        <f>VLOOKUP(A103, 'Main Data'!#REF!, 1, FALSE)</f>
        <v>#REF!</v>
      </c>
    </row>
    <row r="104" spans="1:4" x14ac:dyDescent="0.3">
      <c r="A104" t="s">
        <v>258</v>
      </c>
      <c r="B104" s="15">
        <v>124</v>
      </c>
      <c r="C104" s="15">
        <v>117</v>
      </c>
      <c r="D104" t="e">
        <f>VLOOKUP(A104, 'Main Data'!#REF!, 1, FALSE)</f>
        <v>#REF!</v>
      </c>
    </row>
    <row r="105" spans="1:4" x14ac:dyDescent="0.3">
      <c r="A105" t="s">
        <v>261</v>
      </c>
      <c r="B105" s="15">
        <v>121</v>
      </c>
      <c r="C105" s="15">
        <v>114</v>
      </c>
      <c r="D105" t="e">
        <f>VLOOKUP(A105, 'Main Data'!#REF!, 1, FALSE)</f>
        <v>#REF!</v>
      </c>
    </row>
    <row r="106" spans="1:4" x14ac:dyDescent="0.3">
      <c r="A106" t="s">
        <v>263</v>
      </c>
      <c r="B106" s="15">
        <v>134</v>
      </c>
      <c r="C106" s="15">
        <v>127</v>
      </c>
      <c r="D106" t="e">
        <f>VLOOKUP(A106, 'Main Data'!#REF!, 1, FALSE)</f>
        <v>#REF!</v>
      </c>
    </row>
    <row r="107" spans="1:4" x14ac:dyDescent="0.3">
      <c r="A107" t="s">
        <v>264</v>
      </c>
      <c r="B107" s="15" t="s">
        <v>540</v>
      </c>
      <c r="C107" s="15" t="s">
        <v>540</v>
      </c>
      <c r="D107" t="e">
        <f>VLOOKUP(A107, 'Main Data'!#REF!, 1, FALSE)</f>
        <v>#REF!</v>
      </c>
    </row>
    <row r="108" spans="1:4" x14ac:dyDescent="0.3">
      <c r="A108" t="s">
        <v>267</v>
      </c>
      <c r="B108" s="15">
        <v>133</v>
      </c>
      <c r="C108" s="15">
        <v>125</v>
      </c>
      <c r="D108" t="e">
        <f>VLOOKUP(A108, 'Main Data'!#REF!, 1, FALSE)</f>
        <v>#REF!</v>
      </c>
    </row>
    <row r="109" spans="1:4" x14ac:dyDescent="0.3">
      <c r="A109" t="s">
        <v>270</v>
      </c>
      <c r="B109" s="15">
        <v>127</v>
      </c>
      <c r="C109" s="15">
        <v>119</v>
      </c>
      <c r="D109" t="e">
        <f>VLOOKUP(A109, 'Main Data'!#REF!, 1, FALSE)</f>
        <v>#REF!</v>
      </c>
    </row>
    <row r="110" spans="1:4" x14ac:dyDescent="0.3">
      <c r="A110" t="s">
        <v>272</v>
      </c>
      <c r="B110" s="15">
        <v>140</v>
      </c>
      <c r="C110" s="15">
        <v>132</v>
      </c>
      <c r="D110" t="e">
        <f>VLOOKUP(A110, 'Main Data'!#REF!, 1, FALSE)</f>
        <v>#REF!</v>
      </c>
    </row>
    <row r="111" spans="1:4" x14ac:dyDescent="0.3">
      <c r="A111" t="s">
        <v>542</v>
      </c>
      <c r="C111" s="15">
        <v>100</v>
      </c>
      <c r="D111" t="e">
        <f>VLOOKUP(A111, 'Main Data'!#REF!, 1, FALSE)</f>
        <v>#REF!</v>
      </c>
    </row>
    <row r="112" spans="1:4" x14ac:dyDescent="0.3">
      <c r="A112" t="s">
        <v>543</v>
      </c>
      <c r="C112" s="15">
        <v>142</v>
      </c>
      <c r="D112" t="e">
        <f>VLOOKUP(A112, 'Main Data'!#REF!, 1, FALSE)</f>
        <v>#REF!</v>
      </c>
    </row>
    <row r="113" spans="1:4" x14ac:dyDescent="0.3">
      <c r="A113" t="s">
        <v>544</v>
      </c>
      <c r="C113" s="15">
        <v>137</v>
      </c>
      <c r="D113" t="e">
        <f>VLOOKUP(A113, 'Main Data'!#REF!, 1, FALSE)</f>
        <v>#REF!</v>
      </c>
    </row>
    <row r="114" spans="1:4" x14ac:dyDescent="0.3">
      <c r="A114" t="s">
        <v>546</v>
      </c>
      <c r="C114" s="15">
        <v>128</v>
      </c>
      <c r="D114" t="e">
        <f>VLOOKUP(A114, 'Main Data'!#REF!, 1, FALSE)</f>
        <v>#REF!</v>
      </c>
    </row>
    <row r="115" spans="1:4" x14ac:dyDescent="0.3">
      <c r="A115" t="s">
        <v>587</v>
      </c>
      <c r="C115" s="15">
        <v>133</v>
      </c>
      <c r="D115" t="e">
        <f>VLOOKUP(A115, 'Main Data'!#REF!, 1, FALSE)</f>
        <v>#REF!</v>
      </c>
    </row>
    <row r="116" spans="1:4" x14ac:dyDescent="0.3">
      <c r="A116" t="s">
        <v>586</v>
      </c>
      <c r="C116" s="15">
        <v>124</v>
      </c>
      <c r="D116" t="e">
        <f>VLOOKUP(A116, 'Main Data'!#REF!, 1, FALSE)</f>
        <v>#REF!</v>
      </c>
    </row>
    <row r="117" spans="1:4" x14ac:dyDescent="0.3">
      <c r="A117" t="s">
        <v>549</v>
      </c>
      <c r="C117" s="15">
        <v>128</v>
      </c>
      <c r="D117" t="e">
        <f>VLOOKUP(A117, 'Main Data'!#REF!, 1, FALSE)</f>
        <v>#REF!</v>
      </c>
    </row>
    <row r="118" spans="1:4" x14ac:dyDescent="0.3">
      <c r="A118" t="s">
        <v>551</v>
      </c>
      <c r="C118" s="15">
        <v>123</v>
      </c>
      <c r="D118" t="e">
        <f>VLOOKUP(A118, 'Main Data'!#REF!, 1, FALSE)</f>
        <v>#REF!</v>
      </c>
    </row>
    <row r="119" spans="1:4" x14ac:dyDescent="0.3">
      <c r="A119" t="s">
        <v>552</v>
      </c>
      <c r="C119" s="15">
        <v>120</v>
      </c>
      <c r="D119" t="e">
        <f>VLOOKUP(A119, 'Main Data'!#REF!, 1, FALSE)</f>
        <v>#REF!</v>
      </c>
    </row>
    <row r="120" spans="1:4" x14ac:dyDescent="0.3">
      <c r="A120" t="s">
        <v>584</v>
      </c>
      <c r="C120" s="15">
        <v>124</v>
      </c>
      <c r="D120" t="e">
        <f>VLOOKUP(A120, 'Main Data'!#REF!, 1, FALSE)</f>
        <v>#REF!</v>
      </c>
    </row>
    <row r="121" spans="1:4" x14ac:dyDescent="0.3">
      <c r="A121" t="s">
        <v>582</v>
      </c>
      <c r="C121" s="15">
        <v>116</v>
      </c>
      <c r="D121" t="e">
        <f>VLOOKUP(A121, 'Main Data'!#REF!, 1, FALSE)</f>
        <v>#REF!</v>
      </c>
    </row>
    <row r="122" spans="1:4" x14ac:dyDescent="0.3">
      <c r="A122" t="s">
        <v>581</v>
      </c>
      <c r="C122" s="15">
        <v>115</v>
      </c>
      <c r="D122" t="e">
        <f>VLOOKUP(A122, 'Main Data'!#REF!, 1, FALSE)</f>
        <v>#REF!</v>
      </c>
    </row>
    <row r="123" spans="1:4" x14ac:dyDescent="0.3">
      <c r="A123" t="s">
        <v>553</v>
      </c>
      <c r="C123" s="15">
        <v>126</v>
      </c>
      <c r="D123" t="e">
        <f>VLOOKUP(A123, 'Main Data'!#REF!, 1, FALSE)</f>
        <v>#REF!</v>
      </c>
    </row>
    <row r="124" spans="1:4" x14ac:dyDescent="0.3">
      <c r="A124" t="s">
        <v>554</v>
      </c>
      <c r="C124" s="15">
        <v>131</v>
      </c>
      <c r="D124" t="e">
        <f>VLOOKUP(A124, 'Main Data'!#REF!, 1, FALSE)</f>
        <v>#REF!</v>
      </c>
    </row>
    <row r="125" spans="1:4" x14ac:dyDescent="0.3">
      <c r="A125" t="s">
        <v>555</v>
      </c>
      <c r="C125" s="15">
        <v>130</v>
      </c>
      <c r="D125" t="e">
        <f>VLOOKUP(A125, 'Main Data'!#REF!, 1, FALSE)</f>
        <v>#REF!</v>
      </c>
    </row>
    <row r="126" spans="1:4" x14ac:dyDescent="0.3">
      <c r="A126" t="s">
        <v>578</v>
      </c>
      <c r="C126" s="15">
        <v>140</v>
      </c>
      <c r="D126" t="e">
        <f>VLOOKUP(A126, 'Main Data'!#REF!, 1, FALSE)</f>
        <v>#REF!</v>
      </c>
    </row>
    <row r="127" spans="1:4" x14ac:dyDescent="0.3">
      <c r="A127" t="s">
        <v>40</v>
      </c>
      <c r="C127" s="15">
        <v>132</v>
      </c>
      <c r="D127" t="e">
        <f>VLOOKUP(A127, 'Main Data'!#REF!, 1, FALSE)</f>
        <v>#REF!</v>
      </c>
    </row>
    <row r="128" spans="1:4" x14ac:dyDescent="0.3">
      <c r="A128" t="s">
        <v>590</v>
      </c>
      <c r="C128" s="15">
        <v>126</v>
      </c>
      <c r="D128" t="e">
        <f>VLOOKUP(A128, 'Main Data'!#REF!, 1, FALSE)</f>
        <v>#REF!</v>
      </c>
    </row>
    <row r="129" spans="1:4" x14ac:dyDescent="0.3">
      <c r="A129" t="s">
        <v>560</v>
      </c>
      <c r="C129" s="15">
        <v>103</v>
      </c>
      <c r="D129" t="e">
        <f>VLOOKUP(A129, 'Main Data'!#REF!, 1, FALSE)</f>
        <v>#REF!</v>
      </c>
    </row>
    <row r="130" spans="1:4" x14ac:dyDescent="0.3">
      <c r="A130" t="s">
        <v>591</v>
      </c>
      <c r="C130" s="15">
        <v>131</v>
      </c>
    </row>
    <row r="131" spans="1:4" x14ac:dyDescent="0.3">
      <c r="A131" t="s">
        <v>35</v>
      </c>
      <c r="C131" s="15">
        <v>70</v>
      </c>
    </row>
    <row r="132" spans="1:4" x14ac:dyDescent="0.3">
      <c r="A132" s="20" t="s">
        <v>587</v>
      </c>
      <c r="C132" s="15">
        <v>130</v>
      </c>
    </row>
    <row r="133" spans="1:4" x14ac:dyDescent="0.3">
      <c r="A133" s="20" t="s">
        <v>652</v>
      </c>
      <c r="C133" s="15">
        <v>145</v>
      </c>
    </row>
    <row r="134" spans="1:4" x14ac:dyDescent="0.3">
      <c r="A134" s="20" t="s">
        <v>139</v>
      </c>
      <c r="C134" s="15">
        <v>125</v>
      </c>
    </row>
    <row r="135" spans="1:4" x14ac:dyDescent="0.3">
      <c r="A135" s="20" t="s">
        <v>263</v>
      </c>
      <c r="C135" s="15">
        <v>129</v>
      </c>
    </row>
    <row r="136" spans="1:4" x14ac:dyDescent="0.3">
      <c r="A136" s="20" t="s">
        <v>693</v>
      </c>
      <c r="C136" s="15">
        <v>125</v>
      </c>
    </row>
    <row r="137" spans="1:4" x14ac:dyDescent="0.3">
      <c r="A137" s="20" t="s">
        <v>584</v>
      </c>
      <c r="C137" s="15">
        <v>125</v>
      </c>
    </row>
    <row r="138" spans="1:4" x14ac:dyDescent="0.3">
      <c r="A138" s="20" t="s">
        <v>544</v>
      </c>
      <c r="C138" s="15">
        <v>137</v>
      </c>
    </row>
    <row r="139" spans="1:4" x14ac:dyDescent="0.3">
      <c r="A139" s="20" t="s">
        <v>127</v>
      </c>
      <c r="C139" s="15">
        <v>123</v>
      </c>
    </row>
    <row r="140" spans="1:4" x14ac:dyDescent="0.3">
      <c r="A140" s="20" t="s">
        <v>243</v>
      </c>
      <c r="C140" s="15">
        <v>120</v>
      </c>
    </row>
    <row r="141" spans="1:4" x14ac:dyDescent="0.3">
      <c r="A141" s="20" t="s">
        <v>560</v>
      </c>
      <c r="C141" s="15">
        <v>108</v>
      </c>
    </row>
    <row r="142" spans="1:4" x14ac:dyDescent="0.3">
      <c r="A142" s="20" t="s">
        <v>589</v>
      </c>
      <c r="C142" s="15">
        <v>109</v>
      </c>
    </row>
    <row r="143" spans="1:4" x14ac:dyDescent="0.3">
      <c r="A143" s="20" t="s">
        <v>694</v>
      </c>
      <c r="C143" s="15">
        <v>138</v>
      </c>
    </row>
    <row r="144" spans="1:4" x14ac:dyDescent="0.3">
      <c r="A144" s="20" t="s">
        <v>151</v>
      </c>
      <c r="C144" s="15">
        <v>109</v>
      </c>
    </row>
    <row r="145" spans="1:3" x14ac:dyDescent="0.3">
      <c r="A145" s="20" t="s">
        <v>178</v>
      </c>
      <c r="C145" s="15">
        <v>144</v>
      </c>
    </row>
    <row r="146" spans="1:3" x14ac:dyDescent="0.3">
      <c r="A146" s="22" t="s">
        <v>695</v>
      </c>
      <c r="C146" s="15">
        <v>129</v>
      </c>
    </row>
    <row r="147" spans="1:3" x14ac:dyDescent="0.3">
      <c r="A147" s="31" t="s">
        <v>144</v>
      </c>
      <c r="C147" s="15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8"/>
  <sheetViews>
    <sheetView workbookViewId="0">
      <pane xSplit="1" ySplit="1" topLeftCell="B29" activePane="bottomRight" state="frozen"/>
      <selection pane="topRight"/>
      <selection pane="bottomLeft"/>
      <selection pane="bottomRight" activeCell="F2" sqref="F2:G58"/>
    </sheetView>
  </sheetViews>
  <sheetFormatPr defaultRowHeight="14.4" x14ac:dyDescent="0.3"/>
  <cols>
    <col min="1" max="1" width="8" customWidth="1"/>
    <col min="2" max="2" width="34" customWidth="1"/>
    <col min="3" max="3" width="20" customWidth="1"/>
    <col min="4" max="4" width="13" customWidth="1"/>
    <col min="5" max="5" width="42" customWidth="1"/>
    <col min="6" max="7" width="11" customWidth="1"/>
    <col min="8" max="9" width="8" customWidth="1"/>
    <col min="10" max="10" width="16" customWidth="1"/>
    <col min="11" max="11" width="30" customWidth="1"/>
    <col min="12" max="12" width="20" customWidth="1"/>
    <col min="13" max="13" width="7" customWidth="1"/>
    <col min="14" max="14" width="6" customWidth="1"/>
    <col min="15" max="15" width="10" customWidth="1"/>
    <col min="16" max="16" width="22" customWidth="1"/>
    <col min="17" max="17" width="16" customWidth="1"/>
    <col min="18" max="19" width="10" customWidth="1"/>
    <col min="20" max="20" width="14" customWidth="1"/>
    <col min="21" max="21" width="30" customWidth="1"/>
    <col min="22" max="22" width="20" customWidth="1"/>
  </cols>
  <sheetData>
    <row r="1" spans="1:22" ht="26.4" x14ac:dyDescent="0.3">
      <c r="A1" s="1" t="s">
        <v>275</v>
      </c>
      <c r="B1" s="1" t="s">
        <v>276</v>
      </c>
      <c r="C1" s="1" t="s">
        <v>2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6</v>
      </c>
      <c r="I1" s="1" t="s">
        <v>7</v>
      </c>
      <c r="J1" s="1" t="s">
        <v>5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8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14</v>
      </c>
      <c r="V1" s="1" t="s">
        <v>290</v>
      </c>
    </row>
    <row r="2" spans="1:22" x14ac:dyDescent="0.3">
      <c r="A2" s="2" t="s">
        <v>291</v>
      </c>
      <c r="B2" s="2" t="s">
        <v>267</v>
      </c>
      <c r="C2" s="2" t="s">
        <v>268</v>
      </c>
      <c r="D2" s="2" t="s">
        <v>187</v>
      </c>
      <c r="E2" s="2" t="s">
        <v>292</v>
      </c>
      <c r="F2" s="2">
        <v>42.362858799999998</v>
      </c>
      <c r="G2" s="2">
        <v>-83.593107099999997</v>
      </c>
      <c r="H2" s="2">
        <v>4.5999999999999996</v>
      </c>
      <c r="I2" s="2">
        <v>1066</v>
      </c>
      <c r="J2" s="2" t="s">
        <v>269</v>
      </c>
      <c r="K2" s="2" t="s">
        <v>293</v>
      </c>
      <c r="L2" s="3" t="s">
        <v>41</v>
      </c>
      <c r="M2" s="4">
        <v>18</v>
      </c>
      <c r="N2" s="4">
        <v>72</v>
      </c>
      <c r="O2" s="4">
        <v>1989</v>
      </c>
      <c r="P2" s="4" t="s">
        <v>294</v>
      </c>
      <c r="Q2" s="4" t="s">
        <v>295</v>
      </c>
      <c r="R2" s="4">
        <v>73.599999999999994</v>
      </c>
      <c r="S2" s="4">
        <v>137</v>
      </c>
      <c r="T2" s="4">
        <v>6783</v>
      </c>
      <c r="U2" s="4" t="s">
        <v>296</v>
      </c>
      <c r="V2" s="11" t="s">
        <v>297</v>
      </c>
    </row>
    <row r="3" spans="1:22" x14ac:dyDescent="0.3">
      <c r="A3" s="2" t="s">
        <v>298</v>
      </c>
      <c r="B3" s="2" t="s">
        <v>272</v>
      </c>
      <c r="C3" s="2" t="s">
        <v>265</v>
      </c>
      <c r="D3" s="2" t="s">
        <v>266</v>
      </c>
      <c r="E3" s="2" t="s">
        <v>299</v>
      </c>
      <c r="F3" s="2">
        <v>42.400437400000001</v>
      </c>
      <c r="G3" s="2">
        <v>-83.495900599999999</v>
      </c>
      <c r="H3" s="2">
        <v>4.4000000000000004</v>
      </c>
      <c r="I3" s="2">
        <v>490</v>
      </c>
      <c r="J3" s="2" t="s">
        <v>273</v>
      </c>
      <c r="K3" s="2" t="s">
        <v>300</v>
      </c>
      <c r="L3" s="3" t="s">
        <v>41</v>
      </c>
      <c r="M3" s="4">
        <v>18</v>
      </c>
      <c r="N3" s="4">
        <v>72</v>
      </c>
      <c r="O3" s="4">
        <v>2000</v>
      </c>
      <c r="P3" s="4" t="s">
        <v>301</v>
      </c>
      <c r="Q3" s="4" t="s">
        <v>302</v>
      </c>
      <c r="R3" s="4">
        <v>72.2</v>
      </c>
      <c r="S3" s="4">
        <v>132</v>
      </c>
      <c r="T3" s="4">
        <v>7003</v>
      </c>
      <c r="U3" s="4" t="s">
        <v>303</v>
      </c>
      <c r="V3" s="11" t="s">
        <v>297</v>
      </c>
    </row>
    <row r="4" spans="1:22" x14ac:dyDescent="0.3">
      <c r="A4" s="2" t="s">
        <v>304</v>
      </c>
      <c r="B4" s="2" t="s">
        <v>161</v>
      </c>
      <c r="C4" s="2" t="s">
        <v>162</v>
      </c>
      <c r="D4" s="2" t="s">
        <v>64</v>
      </c>
      <c r="E4" s="2" t="s">
        <v>305</v>
      </c>
      <c r="F4" s="2">
        <v>42.462790499999997</v>
      </c>
      <c r="G4" s="2">
        <v>-83.543694799999997</v>
      </c>
      <c r="H4" s="2">
        <v>4.2</v>
      </c>
      <c r="I4" s="2">
        <v>195</v>
      </c>
      <c r="J4" s="2" t="s">
        <v>163</v>
      </c>
      <c r="K4" s="2" t="s">
        <v>306</v>
      </c>
      <c r="L4" s="3" t="s">
        <v>41</v>
      </c>
      <c r="M4" s="4"/>
      <c r="N4" s="4"/>
      <c r="O4" s="4"/>
      <c r="P4" s="4"/>
      <c r="Q4" s="4"/>
      <c r="R4" s="4"/>
      <c r="S4" s="4"/>
      <c r="T4" s="4"/>
      <c r="U4" s="4"/>
      <c r="V4" s="12" t="s">
        <v>307</v>
      </c>
    </row>
    <row r="5" spans="1:22" x14ac:dyDescent="0.3">
      <c r="A5" s="2" t="s">
        <v>308</v>
      </c>
      <c r="B5" s="2" t="s">
        <v>270</v>
      </c>
      <c r="C5" s="2" t="s">
        <v>268</v>
      </c>
      <c r="D5" s="2" t="s">
        <v>266</v>
      </c>
      <c r="E5" s="2" t="s">
        <v>309</v>
      </c>
      <c r="F5" s="2">
        <v>42.365600499999999</v>
      </c>
      <c r="G5" s="2">
        <v>-83.504638600000007</v>
      </c>
      <c r="H5" s="2">
        <v>3.7</v>
      </c>
      <c r="I5" s="2">
        <v>312</v>
      </c>
      <c r="J5" s="2" t="s">
        <v>271</v>
      </c>
      <c r="K5" s="2" t="s">
        <v>310</v>
      </c>
      <c r="L5" s="3" t="s">
        <v>41</v>
      </c>
      <c r="M5" s="4"/>
      <c r="N5" s="4"/>
      <c r="O5" s="4"/>
      <c r="P5" s="4"/>
      <c r="Q5" s="4"/>
      <c r="R5" s="4"/>
      <c r="S5" s="4"/>
      <c r="T5" s="4"/>
      <c r="U5" s="4"/>
      <c r="V5" s="13" t="s">
        <v>311</v>
      </c>
    </row>
    <row r="6" spans="1:22" x14ac:dyDescent="0.3">
      <c r="A6" s="2" t="s">
        <v>312</v>
      </c>
      <c r="B6" s="2" t="s">
        <v>153</v>
      </c>
      <c r="C6" s="2" t="s">
        <v>105</v>
      </c>
      <c r="D6" s="2" t="s">
        <v>64</v>
      </c>
      <c r="E6" s="2" t="s">
        <v>313</v>
      </c>
      <c r="F6" s="2">
        <v>42.482575599999997</v>
      </c>
      <c r="G6" s="2">
        <v>-83.419117200000002</v>
      </c>
      <c r="H6" s="2">
        <v>4.2</v>
      </c>
      <c r="I6" s="2">
        <v>508</v>
      </c>
      <c r="J6" s="2" t="s">
        <v>154</v>
      </c>
      <c r="K6" s="2" t="s">
        <v>314</v>
      </c>
      <c r="L6" s="3" t="s">
        <v>41</v>
      </c>
      <c r="M6" s="4"/>
      <c r="N6" s="4"/>
      <c r="O6" s="4"/>
      <c r="P6" s="4"/>
      <c r="Q6" s="4"/>
      <c r="R6" s="4"/>
      <c r="S6" s="4"/>
      <c r="T6" s="4"/>
      <c r="U6" s="4"/>
      <c r="V6" s="12" t="s">
        <v>307</v>
      </c>
    </row>
    <row r="7" spans="1:22" x14ac:dyDescent="0.3">
      <c r="A7" s="2" t="s">
        <v>315</v>
      </c>
      <c r="B7" s="2" t="s">
        <v>164</v>
      </c>
      <c r="C7" s="2" t="s">
        <v>162</v>
      </c>
      <c r="D7" s="2" t="s">
        <v>64</v>
      </c>
      <c r="E7" s="2" t="s">
        <v>316</v>
      </c>
      <c r="F7" s="2">
        <v>42.525914800000002</v>
      </c>
      <c r="G7" s="2">
        <v>-83.458842200000007</v>
      </c>
      <c r="H7" s="2">
        <v>4.0999999999999996</v>
      </c>
      <c r="I7" s="2">
        <v>205</v>
      </c>
      <c r="J7" s="2" t="s">
        <v>165</v>
      </c>
      <c r="K7" s="2" t="s">
        <v>317</v>
      </c>
      <c r="L7" s="3" t="s">
        <v>41</v>
      </c>
      <c r="M7" s="4"/>
      <c r="N7" s="4"/>
      <c r="O7" s="4"/>
      <c r="P7" s="4"/>
      <c r="Q7" s="4"/>
      <c r="R7" s="4"/>
      <c r="S7" s="4"/>
      <c r="T7" s="4"/>
      <c r="U7" s="4"/>
      <c r="V7" s="13" t="s">
        <v>311</v>
      </c>
    </row>
    <row r="8" spans="1:22" x14ac:dyDescent="0.3">
      <c r="A8" s="2" t="s">
        <v>318</v>
      </c>
      <c r="B8" s="2" t="s">
        <v>149</v>
      </c>
      <c r="C8" s="2" t="s">
        <v>105</v>
      </c>
      <c r="D8" s="2" t="s">
        <v>64</v>
      </c>
      <c r="E8" s="2" t="s">
        <v>319</v>
      </c>
      <c r="F8" s="2">
        <v>42.498356299999998</v>
      </c>
      <c r="G8" s="2">
        <v>-83.424146399999998</v>
      </c>
      <c r="H8" s="2">
        <v>4.2</v>
      </c>
      <c r="I8" s="2">
        <v>205</v>
      </c>
      <c r="J8" s="2" t="s">
        <v>150</v>
      </c>
      <c r="K8" s="2" t="s">
        <v>320</v>
      </c>
      <c r="L8" s="3" t="s">
        <v>41</v>
      </c>
      <c r="M8" s="4"/>
      <c r="N8" s="4"/>
      <c r="O8" s="4"/>
      <c r="P8" s="4"/>
      <c r="Q8" s="4"/>
      <c r="R8" s="4"/>
      <c r="S8" s="4"/>
      <c r="T8" s="4"/>
      <c r="U8" s="4"/>
      <c r="V8" s="12" t="s">
        <v>307</v>
      </c>
    </row>
    <row r="9" spans="1:22" x14ac:dyDescent="0.3">
      <c r="A9" s="2" t="s">
        <v>321</v>
      </c>
      <c r="B9" s="2" t="s">
        <v>155</v>
      </c>
      <c r="C9" s="2" t="s">
        <v>105</v>
      </c>
      <c r="D9" s="2" t="s">
        <v>64</v>
      </c>
      <c r="E9" s="2" t="s">
        <v>322</v>
      </c>
      <c r="F9" s="2">
        <v>42.514366600000002</v>
      </c>
      <c r="G9" s="2">
        <v>-83.352645600000002</v>
      </c>
      <c r="H9" s="2">
        <v>4.4000000000000004</v>
      </c>
      <c r="I9" s="2">
        <v>253</v>
      </c>
      <c r="J9" s="2" t="s">
        <v>156</v>
      </c>
      <c r="K9" s="2" t="s">
        <v>323</v>
      </c>
      <c r="L9" s="3" t="s">
        <v>41</v>
      </c>
      <c r="M9" s="4"/>
      <c r="N9" s="4"/>
      <c r="O9" s="4"/>
      <c r="P9" s="4"/>
      <c r="Q9" s="4"/>
      <c r="R9" s="4"/>
      <c r="S9" s="4"/>
      <c r="T9" s="4"/>
      <c r="U9" s="4"/>
      <c r="V9" s="12" t="s">
        <v>307</v>
      </c>
    </row>
    <row r="10" spans="1:22" x14ac:dyDescent="0.3">
      <c r="A10" s="2" t="s">
        <v>324</v>
      </c>
      <c r="B10" s="2" t="s">
        <v>245</v>
      </c>
      <c r="C10" s="2" t="s">
        <v>246</v>
      </c>
      <c r="D10" s="2" t="s">
        <v>213</v>
      </c>
      <c r="E10" s="2" t="s">
        <v>325</v>
      </c>
      <c r="F10" s="2">
        <v>42.427212900000001</v>
      </c>
      <c r="G10" s="2">
        <v>-83.398247600000005</v>
      </c>
      <c r="H10" s="2">
        <v>4.4000000000000004</v>
      </c>
      <c r="I10" s="2">
        <v>423</v>
      </c>
      <c r="J10" s="2" t="s">
        <v>247</v>
      </c>
      <c r="K10" s="2" t="s">
        <v>326</v>
      </c>
      <c r="L10" s="3" t="s">
        <v>41</v>
      </c>
      <c r="M10" s="4"/>
      <c r="N10" s="4"/>
      <c r="O10" s="4"/>
      <c r="P10" s="4"/>
      <c r="Q10" s="4"/>
      <c r="R10" s="4"/>
      <c r="S10" s="4"/>
      <c r="T10" s="4"/>
      <c r="U10" s="4"/>
      <c r="V10" s="12" t="s">
        <v>307</v>
      </c>
    </row>
    <row r="11" spans="1:22" x14ac:dyDescent="0.3">
      <c r="A11" s="2" t="s">
        <v>327</v>
      </c>
      <c r="B11" s="2" t="s">
        <v>261</v>
      </c>
      <c r="C11" s="2" t="s">
        <v>246</v>
      </c>
      <c r="D11" s="2" t="s">
        <v>213</v>
      </c>
      <c r="E11" s="2" t="s">
        <v>328</v>
      </c>
      <c r="F11" s="2">
        <v>42.437730600000002</v>
      </c>
      <c r="G11" s="2">
        <v>-83.412829299999999</v>
      </c>
      <c r="H11" s="2">
        <v>4.2</v>
      </c>
      <c r="I11" s="2">
        <v>362</v>
      </c>
      <c r="J11" s="2" t="s">
        <v>262</v>
      </c>
      <c r="K11" s="2" t="s">
        <v>329</v>
      </c>
      <c r="L11" s="3" t="s">
        <v>41</v>
      </c>
      <c r="M11" s="4"/>
      <c r="N11" s="4"/>
      <c r="O11" s="4"/>
      <c r="P11" s="4"/>
      <c r="Q11" s="4"/>
      <c r="R11" s="4"/>
      <c r="S11" s="4"/>
      <c r="T11" s="4"/>
      <c r="U11" s="4"/>
      <c r="V11" s="12" t="s">
        <v>307</v>
      </c>
    </row>
    <row r="12" spans="1:22" x14ac:dyDescent="0.3">
      <c r="A12" s="2" t="s">
        <v>330</v>
      </c>
      <c r="B12" s="2" t="s">
        <v>248</v>
      </c>
      <c r="C12" s="2" t="s">
        <v>236</v>
      </c>
      <c r="D12" s="2" t="s">
        <v>213</v>
      </c>
      <c r="E12" s="2" t="s">
        <v>331</v>
      </c>
      <c r="F12" s="2">
        <v>42.413930000000001</v>
      </c>
      <c r="G12" s="2">
        <v>-83.290976499999999</v>
      </c>
      <c r="H12" s="2">
        <v>4.3</v>
      </c>
      <c r="I12" s="2">
        <v>405</v>
      </c>
      <c r="J12" s="2" t="s">
        <v>249</v>
      </c>
      <c r="K12" s="2" t="s">
        <v>332</v>
      </c>
      <c r="L12" s="3" t="s">
        <v>41</v>
      </c>
      <c r="M12" s="4"/>
      <c r="N12" s="4"/>
      <c r="O12" s="4"/>
      <c r="P12" s="4"/>
      <c r="Q12" s="4"/>
      <c r="R12" s="4"/>
      <c r="S12" s="4"/>
      <c r="T12" s="4"/>
      <c r="U12" s="4"/>
      <c r="V12" s="13" t="s">
        <v>311</v>
      </c>
    </row>
    <row r="13" spans="1:22" x14ac:dyDescent="0.3">
      <c r="A13" s="2" t="s">
        <v>333</v>
      </c>
      <c r="B13" s="2" t="s">
        <v>235</v>
      </c>
      <c r="C13" s="2" t="s">
        <v>236</v>
      </c>
      <c r="D13" s="2" t="s">
        <v>213</v>
      </c>
      <c r="E13" s="2" t="s">
        <v>334</v>
      </c>
      <c r="F13" s="2">
        <v>42.393538399999997</v>
      </c>
      <c r="G13" s="2">
        <v>-83.299947099999997</v>
      </c>
      <c r="H13" s="2">
        <v>4.5999999999999996</v>
      </c>
      <c r="I13" s="2">
        <v>214</v>
      </c>
      <c r="J13" s="2" t="s">
        <v>237</v>
      </c>
      <c r="K13" s="2" t="s">
        <v>335</v>
      </c>
      <c r="L13" s="3" t="s">
        <v>336</v>
      </c>
      <c r="M13" s="4"/>
      <c r="N13" s="4"/>
      <c r="O13" s="4"/>
      <c r="P13" s="4"/>
      <c r="Q13" s="4"/>
      <c r="R13" s="4"/>
      <c r="S13" s="4"/>
      <c r="T13" s="4"/>
      <c r="U13" s="4"/>
      <c r="V13" s="14" t="s">
        <v>337</v>
      </c>
    </row>
    <row r="14" spans="1:22" x14ac:dyDescent="0.3">
      <c r="A14" s="2" t="s">
        <v>338</v>
      </c>
      <c r="B14" s="2" t="s">
        <v>251</v>
      </c>
      <c r="C14" s="2" t="s">
        <v>246</v>
      </c>
      <c r="D14" s="2" t="s">
        <v>213</v>
      </c>
      <c r="E14" s="2" t="s">
        <v>339</v>
      </c>
      <c r="F14" s="2">
        <v>42.397714399999998</v>
      </c>
      <c r="G14" s="2">
        <v>-83.396897999999993</v>
      </c>
      <c r="H14" s="2">
        <v>3.8</v>
      </c>
      <c r="I14" s="2">
        <v>405</v>
      </c>
      <c r="J14" s="2" t="s">
        <v>252</v>
      </c>
      <c r="K14" s="2" t="s">
        <v>340</v>
      </c>
      <c r="L14" s="3" t="s">
        <v>41</v>
      </c>
      <c r="M14" s="4"/>
      <c r="N14" s="4"/>
      <c r="O14" s="4"/>
      <c r="P14" s="4"/>
      <c r="Q14" s="4"/>
      <c r="R14" s="4"/>
      <c r="S14" s="4"/>
      <c r="T14" s="4"/>
      <c r="U14" s="4"/>
      <c r="V14" s="13" t="s">
        <v>311</v>
      </c>
    </row>
    <row r="15" spans="1:22" x14ac:dyDescent="0.3">
      <c r="A15" s="2" t="s">
        <v>341</v>
      </c>
      <c r="B15" s="2" t="s">
        <v>258</v>
      </c>
      <c r="C15" s="2" t="s">
        <v>259</v>
      </c>
      <c r="D15" s="2" t="s">
        <v>213</v>
      </c>
      <c r="E15" s="2" t="s">
        <v>342</v>
      </c>
      <c r="F15" s="2">
        <v>42.340946600000002</v>
      </c>
      <c r="G15" s="2">
        <v>-83.296723</v>
      </c>
      <c r="H15" s="2">
        <v>4</v>
      </c>
      <c r="I15" s="2">
        <v>527</v>
      </c>
      <c r="J15" s="2" t="s">
        <v>260</v>
      </c>
      <c r="K15" s="2" t="s">
        <v>343</v>
      </c>
      <c r="L15" s="3" t="s">
        <v>41</v>
      </c>
      <c r="M15" s="4"/>
      <c r="N15" s="4"/>
      <c r="O15" s="4"/>
      <c r="P15" s="4"/>
      <c r="Q15" s="4"/>
      <c r="R15" s="4"/>
      <c r="S15" s="4"/>
      <c r="T15" s="4"/>
      <c r="U15" s="4"/>
      <c r="V15" s="13" t="s">
        <v>311</v>
      </c>
    </row>
    <row r="16" spans="1:22" x14ac:dyDescent="0.3">
      <c r="A16" s="2" t="s">
        <v>344</v>
      </c>
      <c r="B16" s="2" t="s">
        <v>223</v>
      </c>
      <c r="C16" s="2" t="s">
        <v>215</v>
      </c>
      <c r="D16" s="2" t="s">
        <v>213</v>
      </c>
      <c r="E16" s="2" t="s">
        <v>345</v>
      </c>
      <c r="F16" s="2">
        <v>42.306407900000004</v>
      </c>
      <c r="G16" s="2">
        <v>-83.200866399999995</v>
      </c>
      <c r="H16" s="2">
        <v>4.5999999999999996</v>
      </c>
      <c r="I16" s="2">
        <v>337</v>
      </c>
      <c r="J16" s="2" t="s">
        <v>224</v>
      </c>
      <c r="K16" s="2" t="s">
        <v>346</v>
      </c>
      <c r="L16" s="3" t="s">
        <v>65</v>
      </c>
      <c r="M16" s="4">
        <v>18</v>
      </c>
      <c r="N16" s="4">
        <v>72</v>
      </c>
      <c r="O16" s="4">
        <v>1990</v>
      </c>
      <c r="P16" s="4" t="s">
        <v>347</v>
      </c>
      <c r="Q16" s="4" t="s">
        <v>348</v>
      </c>
      <c r="R16" s="4">
        <v>75.099999999999994</v>
      </c>
      <c r="S16" s="4">
        <v>148</v>
      </c>
      <c r="T16" s="4">
        <v>7071</v>
      </c>
      <c r="U16" s="4" t="s">
        <v>349</v>
      </c>
      <c r="V16" s="14" t="s">
        <v>65</v>
      </c>
    </row>
    <row r="17" spans="1:22" x14ac:dyDescent="0.3">
      <c r="A17" s="2" t="s">
        <v>350</v>
      </c>
      <c r="B17" s="2" t="s">
        <v>91</v>
      </c>
      <c r="C17" s="2" t="s">
        <v>92</v>
      </c>
      <c r="D17" s="2" t="s">
        <v>64</v>
      </c>
      <c r="E17" s="2" t="s">
        <v>351</v>
      </c>
      <c r="F17" s="2">
        <v>42.451143500000001</v>
      </c>
      <c r="G17" s="2">
        <v>-83.262468299999995</v>
      </c>
      <c r="H17" s="2">
        <v>4.5</v>
      </c>
      <c r="I17" s="2">
        <v>242</v>
      </c>
      <c r="J17" s="2" t="s">
        <v>93</v>
      </c>
      <c r="K17" s="2" t="s">
        <v>352</v>
      </c>
      <c r="L17" s="3" t="s">
        <v>65</v>
      </c>
      <c r="M17" s="4"/>
      <c r="N17" s="4"/>
      <c r="O17" s="4"/>
      <c r="P17" s="4"/>
      <c r="Q17" s="4"/>
      <c r="R17" s="4"/>
      <c r="S17" s="4"/>
      <c r="T17" s="4"/>
      <c r="U17" s="4"/>
      <c r="V17" s="14" t="s">
        <v>65</v>
      </c>
    </row>
    <row r="18" spans="1:22" x14ac:dyDescent="0.3">
      <c r="A18" s="2" t="s">
        <v>353</v>
      </c>
      <c r="B18" s="2" t="s">
        <v>256</v>
      </c>
      <c r="C18" s="2" t="s">
        <v>217</v>
      </c>
      <c r="D18" s="2" t="s">
        <v>213</v>
      </c>
      <c r="E18" s="2" t="s">
        <v>354</v>
      </c>
      <c r="F18" s="2">
        <v>42.373478300000002</v>
      </c>
      <c r="G18" s="2">
        <v>-83.247218599999997</v>
      </c>
      <c r="H18" s="2">
        <v>4.2</v>
      </c>
      <c r="I18" s="2">
        <v>380</v>
      </c>
      <c r="J18" s="2" t="s">
        <v>257</v>
      </c>
      <c r="K18" s="2" t="s">
        <v>355</v>
      </c>
      <c r="L18" s="3" t="s">
        <v>41</v>
      </c>
      <c r="M18" s="4"/>
      <c r="N18" s="4"/>
      <c r="O18" s="4"/>
      <c r="P18" s="4"/>
      <c r="Q18" s="4"/>
      <c r="R18" s="4"/>
      <c r="S18" s="4"/>
      <c r="T18" s="4"/>
      <c r="U18" s="4"/>
      <c r="V18" s="12" t="s">
        <v>356</v>
      </c>
    </row>
    <row r="19" spans="1:22" x14ac:dyDescent="0.3">
      <c r="A19" s="2" t="s">
        <v>357</v>
      </c>
      <c r="B19" s="2" t="s">
        <v>243</v>
      </c>
      <c r="C19" s="2" t="s">
        <v>217</v>
      </c>
      <c r="D19" s="2" t="s">
        <v>213</v>
      </c>
      <c r="E19" s="2" t="s">
        <v>358</v>
      </c>
      <c r="F19" s="2">
        <v>42.397154499999999</v>
      </c>
      <c r="G19" s="2">
        <v>-82.972870499999999</v>
      </c>
      <c r="H19" s="2">
        <v>4.2</v>
      </c>
      <c r="I19" s="2">
        <v>298</v>
      </c>
      <c r="J19" s="2" t="s">
        <v>244</v>
      </c>
      <c r="K19" s="2" t="s">
        <v>359</v>
      </c>
      <c r="L19" s="3" t="s">
        <v>41</v>
      </c>
      <c r="M19" s="4"/>
      <c r="N19" s="4"/>
      <c r="O19" s="4"/>
      <c r="P19" s="4"/>
      <c r="Q19" s="4"/>
      <c r="R19" s="4"/>
      <c r="S19" s="4"/>
      <c r="T19" s="4"/>
      <c r="U19" s="4"/>
      <c r="V19" s="12" t="s">
        <v>356</v>
      </c>
    </row>
    <row r="20" spans="1:22" x14ac:dyDescent="0.3">
      <c r="A20" s="2" t="s">
        <v>360</v>
      </c>
      <c r="B20" s="2" t="s">
        <v>151</v>
      </c>
      <c r="C20" s="2" t="s">
        <v>92</v>
      </c>
      <c r="D20" s="2" t="s">
        <v>64</v>
      </c>
      <c r="E20" s="2" t="s">
        <v>361</v>
      </c>
      <c r="F20" s="2">
        <v>42.4791174</v>
      </c>
      <c r="G20" s="2">
        <v>-83.235712599999999</v>
      </c>
      <c r="H20" s="2">
        <v>4</v>
      </c>
      <c r="I20" s="2">
        <v>195</v>
      </c>
      <c r="J20" s="2" t="s">
        <v>152</v>
      </c>
      <c r="K20" s="2" t="s">
        <v>362</v>
      </c>
      <c r="L20" s="3" t="s">
        <v>41</v>
      </c>
      <c r="M20" s="4"/>
      <c r="N20" s="4"/>
      <c r="O20" s="4"/>
      <c r="P20" s="4"/>
      <c r="Q20" s="4"/>
      <c r="R20" s="4"/>
      <c r="S20" s="4"/>
      <c r="T20" s="4"/>
      <c r="U20" s="4"/>
      <c r="V20" s="13" t="s">
        <v>311</v>
      </c>
    </row>
    <row r="21" spans="1:22" x14ac:dyDescent="0.3">
      <c r="A21" s="2" t="s">
        <v>363</v>
      </c>
      <c r="B21" s="2" t="s">
        <v>168</v>
      </c>
      <c r="C21" s="2" t="s">
        <v>169</v>
      </c>
      <c r="D21" s="2" t="s">
        <v>64</v>
      </c>
      <c r="E21" s="2" t="s">
        <v>364</v>
      </c>
      <c r="F21" s="2">
        <v>42.476184199999999</v>
      </c>
      <c r="G21" s="2">
        <v>-83.163585400000002</v>
      </c>
      <c r="H21" s="2">
        <v>3.7</v>
      </c>
      <c r="I21" s="2">
        <v>328</v>
      </c>
      <c r="J21" s="2" t="s">
        <v>170</v>
      </c>
      <c r="K21" s="2" t="s">
        <v>365</v>
      </c>
      <c r="L21" s="3" t="s">
        <v>41</v>
      </c>
      <c r="M21" s="4"/>
      <c r="N21" s="4"/>
      <c r="O21" s="4"/>
      <c r="P21" s="4"/>
      <c r="Q21" s="4"/>
      <c r="R21" s="4"/>
      <c r="S21" s="4"/>
      <c r="T21" s="4"/>
      <c r="U21" s="4"/>
      <c r="V21" s="13" t="s">
        <v>311</v>
      </c>
    </row>
    <row r="22" spans="1:22" x14ac:dyDescent="0.3">
      <c r="A22" s="2" t="s">
        <v>366</v>
      </c>
      <c r="B22" s="2" t="s">
        <v>253</v>
      </c>
      <c r="C22" s="2" t="s">
        <v>254</v>
      </c>
      <c r="D22" s="2" t="s">
        <v>213</v>
      </c>
      <c r="E22" s="2" t="s">
        <v>367</v>
      </c>
      <c r="F22" s="2">
        <v>42.2099154</v>
      </c>
      <c r="G22" s="2">
        <v>-83.2832109</v>
      </c>
      <c r="H22" s="2">
        <v>4.3</v>
      </c>
      <c r="I22" s="2">
        <v>531</v>
      </c>
      <c r="J22" s="2" t="s">
        <v>255</v>
      </c>
      <c r="K22" s="2" t="s">
        <v>368</v>
      </c>
      <c r="L22" s="3" t="s">
        <v>41</v>
      </c>
      <c r="M22" s="4"/>
      <c r="N22" s="4"/>
      <c r="O22" s="4"/>
      <c r="P22" s="4"/>
      <c r="Q22" s="4"/>
      <c r="R22" s="4"/>
      <c r="S22" s="4"/>
      <c r="T22" s="4"/>
      <c r="U22" s="4"/>
      <c r="V22" s="12" t="s">
        <v>307</v>
      </c>
    </row>
    <row r="23" spans="1:22" x14ac:dyDescent="0.3">
      <c r="A23" s="2" t="s">
        <v>369</v>
      </c>
      <c r="B23" s="2" t="s">
        <v>216</v>
      </c>
      <c r="C23" s="2" t="s">
        <v>217</v>
      </c>
      <c r="D23" s="2" t="s">
        <v>213</v>
      </c>
      <c r="E23" s="2" t="s">
        <v>370</v>
      </c>
      <c r="F23" s="2">
        <v>42.426279999999998</v>
      </c>
      <c r="G23" s="2">
        <v>-83.126246199999997</v>
      </c>
      <c r="H23" s="2">
        <v>4.7</v>
      </c>
      <c r="I23" s="2">
        <v>605</v>
      </c>
      <c r="J23" s="2" t="s">
        <v>218</v>
      </c>
      <c r="K23" s="2" t="s">
        <v>371</v>
      </c>
      <c r="L23" s="3" t="s">
        <v>65</v>
      </c>
      <c r="M23" s="4">
        <v>36</v>
      </c>
      <c r="N23" s="4">
        <v>72</v>
      </c>
      <c r="O23" s="4">
        <v>1916</v>
      </c>
      <c r="P23" s="4" t="s">
        <v>372</v>
      </c>
      <c r="Q23" s="4"/>
      <c r="R23" s="4">
        <v>73.599999999999994</v>
      </c>
      <c r="S23" s="4"/>
      <c r="T23" s="4">
        <v>6936</v>
      </c>
      <c r="U23" s="4" t="s">
        <v>373</v>
      </c>
      <c r="V23" s="14" t="s">
        <v>65</v>
      </c>
    </row>
    <row r="24" spans="1:22" x14ac:dyDescent="0.3">
      <c r="A24" s="2" t="s">
        <v>374</v>
      </c>
      <c r="B24" s="2" t="s">
        <v>159</v>
      </c>
      <c r="C24" s="2" t="s">
        <v>63</v>
      </c>
      <c r="D24" s="2" t="s">
        <v>64</v>
      </c>
      <c r="E24" s="2" t="s">
        <v>375</v>
      </c>
      <c r="F24" s="2">
        <v>42.531310499999996</v>
      </c>
      <c r="G24" s="2">
        <v>-83.2476032</v>
      </c>
      <c r="H24" s="2">
        <v>4.4000000000000004</v>
      </c>
      <c r="I24" s="2">
        <v>155</v>
      </c>
      <c r="J24" s="2" t="s">
        <v>160</v>
      </c>
      <c r="K24" s="2" t="s">
        <v>376</v>
      </c>
      <c r="L24" s="3" t="s">
        <v>41</v>
      </c>
      <c r="M24" s="4"/>
      <c r="N24" s="4"/>
      <c r="O24" s="4"/>
      <c r="P24" s="4"/>
      <c r="Q24" s="4"/>
      <c r="R24" s="4"/>
      <c r="S24" s="4"/>
      <c r="T24" s="4"/>
      <c r="U24" s="4"/>
      <c r="V24" s="13" t="s">
        <v>311</v>
      </c>
    </row>
    <row r="25" spans="1:22" x14ac:dyDescent="0.3">
      <c r="A25" s="2" t="s">
        <v>377</v>
      </c>
      <c r="B25" s="2" t="s">
        <v>207</v>
      </c>
      <c r="C25" s="2" t="s">
        <v>189</v>
      </c>
      <c r="D25" s="2" t="s">
        <v>187</v>
      </c>
      <c r="E25" s="2" t="s">
        <v>378</v>
      </c>
      <c r="F25" s="2">
        <v>42.210417</v>
      </c>
      <c r="G25" s="2">
        <v>-83.764593000000005</v>
      </c>
      <c r="H25" s="2">
        <v>4.5999999999999996</v>
      </c>
      <c r="I25" s="2">
        <v>495</v>
      </c>
      <c r="J25" s="2" t="s">
        <v>208</v>
      </c>
      <c r="K25" s="2" t="s">
        <v>379</v>
      </c>
      <c r="L25" s="3" t="s">
        <v>41</v>
      </c>
      <c r="M25" s="4">
        <v>18</v>
      </c>
      <c r="N25" s="4">
        <v>72</v>
      </c>
      <c r="O25" s="4">
        <v>1991</v>
      </c>
      <c r="P25" s="4" t="s">
        <v>294</v>
      </c>
      <c r="Q25" s="4" t="s">
        <v>380</v>
      </c>
      <c r="R25" s="4">
        <v>74.2</v>
      </c>
      <c r="S25" s="4">
        <v>135</v>
      </c>
      <c r="T25" s="4">
        <v>6932</v>
      </c>
      <c r="U25" s="4" t="s">
        <v>381</v>
      </c>
      <c r="V25" s="11" t="s">
        <v>297</v>
      </c>
    </row>
    <row r="26" spans="1:22" x14ac:dyDescent="0.3">
      <c r="A26" s="2" t="s">
        <v>382</v>
      </c>
      <c r="B26" s="2" t="s">
        <v>199</v>
      </c>
      <c r="C26" s="2" t="s">
        <v>189</v>
      </c>
      <c r="D26" s="2" t="s">
        <v>187</v>
      </c>
      <c r="E26" s="2" t="s">
        <v>383</v>
      </c>
      <c r="F26" s="2">
        <v>42.2716371</v>
      </c>
      <c r="G26" s="2">
        <v>-83.696794100000005</v>
      </c>
      <c r="H26" s="2">
        <v>4.0999999999999996</v>
      </c>
      <c r="I26" s="2">
        <v>184</v>
      </c>
      <c r="J26" s="2" t="s">
        <v>200</v>
      </c>
      <c r="K26" s="2" t="s">
        <v>384</v>
      </c>
      <c r="L26" s="3" t="s">
        <v>41</v>
      </c>
      <c r="M26" s="4"/>
      <c r="N26" s="4"/>
      <c r="O26" s="4"/>
      <c r="P26" s="4"/>
      <c r="Q26" s="4"/>
      <c r="R26" s="4"/>
      <c r="S26" s="4"/>
      <c r="T26" s="4"/>
      <c r="U26" s="4"/>
      <c r="V26" s="12" t="s">
        <v>356</v>
      </c>
    </row>
    <row r="27" spans="1:22" x14ac:dyDescent="0.3">
      <c r="A27" s="2" t="s">
        <v>385</v>
      </c>
      <c r="B27" s="2" t="s">
        <v>203</v>
      </c>
      <c r="C27" s="2" t="s">
        <v>189</v>
      </c>
      <c r="D27" s="2" t="s">
        <v>187</v>
      </c>
      <c r="E27" s="2" t="s">
        <v>386</v>
      </c>
      <c r="F27" s="2">
        <v>42.302698599999999</v>
      </c>
      <c r="G27" s="2">
        <v>-83.725076200000004</v>
      </c>
      <c r="H27" s="2">
        <v>4.4000000000000004</v>
      </c>
      <c r="I27" s="2">
        <v>390</v>
      </c>
      <c r="J27" s="2" t="s">
        <v>204</v>
      </c>
      <c r="K27" s="2" t="s">
        <v>387</v>
      </c>
      <c r="L27" s="3" t="s">
        <v>41</v>
      </c>
      <c r="M27" s="4"/>
      <c r="N27" s="4"/>
      <c r="O27" s="4"/>
      <c r="P27" s="4"/>
      <c r="Q27" s="4"/>
      <c r="R27" s="4"/>
      <c r="S27" s="4"/>
      <c r="T27" s="4"/>
      <c r="U27" s="4"/>
      <c r="V27" s="12" t="s">
        <v>356</v>
      </c>
    </row>
    <row r="28" spans="1:22" x14ac:dyDescent="0.3">
      <c r="A28" s="2" t="s">
        <v>388</v>
      </c>
      <c r="B28" s="2" t="s">
        <v>209</v>
      </c>
      <c r="C28" s="2" t="s">
        <v>195</v>
      </c>
      <c r="D28" s="2" t="s">
        <v>187</v>
      </c>
      <c r="E28" s="2" t="s">
        <v>389</v>
      </c>
      <c r="F28" s="2">
        <v>42.252330399999998</v>
      </c>
      <c r="G28" s="2">
        <v>-83.659151899999998</v>
      </c>
      <c r="H28" s="2">
        <v>4.5</v>
      </c>
      <c r="I28" s="2">
        <v>296</v>
      </c>
      <c r="J28" s="2" t="s">
        <v>210</v>
      </c>
      <c r="K28" s="2" t="s">
        <v>390</v>
      </c>
      <c r="L28" s="3" t="s">
        <v>41</v>
      </c>
      <c r="M28" s="4"/>
      <c r="N28" s="4"/>
      <c r="O28" s="4"/>
      <c r="P28" s="4"/>
      <c r="Q28" s="4"/>
      <c r="R28" s="4"/>
      <c r="S28" s="4"/>
      <c r="T28" s="4"/>
      <c r="U28" s="4"/>
      <c r="V28" s="12" t="s">
        <v>307</v>
      </c>
    </row>
    <row r="29" spans="1:22" x14ac:dyDescent="0.3">
      <c r="A29" s="2" t="s">
        <v>391</v>
      </c>
      <c r="B29" s="2" t="s">
        <v>188</v>
      </c>
      <c r="C29" s="2" t="s">
        <v>189</v>
      </c>
      <c r="D29" s="2" t="s">
        <v>187</v>
      </c>
      <c r="E29" s="2" t="s">
        <v>392</v>
      </c>
      <c r="F29" s="2">
        <v>42.262821099999996</v>
      </c>
      <c r="G29" s="2">
        <v>-83.743736200000001</v>
      </c>
      <c r="H29" s="2">
        <v>4.5999999999999996</v>
      </c>
      <c r="I29" s="2">
        <v>361</v>
      </c>
      <c r="J29" s="2" t="s">
        <v>190</v>
      </c>
      <c r="K29" s="2" t="s">
        <v>393</v>
      </c>
      <c r="L29" s="3" t="s">
        <v>336</v>
      </c>
      <c r="M29" s="4"/>
      <c r="N29" s="4"/>
      <c r="O29" s="4"/>
      <c r="P29" s="4"/>
      <c r="Q29" s="4"/>
      <c r="R29" s="4"/>
      <c r="S29" s="4"/>
      <c r="T29" s="4"/>
      <c r="U29" s="4"/>
      <c r="V29" s="11" t="s">
        <v>297</v>
      </c>
    </row>
    <row r="30" spans="1:22" x14ac:dyDescent="0.3">
      <c r="A30" s="2" t="s">
        <v>394</v>
      </c>
      <c r="B30" s="2" t="s">
        <v>194</v>
      </c>
      <c r="C30" s="2" t="s">
        <v>195</v>
      </c>
      <c r="D30" s="2" t="s">
        <v>187</v>
      </c>
      <c r="E30" s="2" t="s">
        <v>395</v>
      </c>
      <c r="F30" s="2">
        <v>42.225657699999999</v>
      </c>
      <c r="G30" s="2">
        <v>-83.6118685</v>
      </c>
      <c r="H30" s="2">
        <v>4.4000000000000004</v>
      </c>
      <c r="I30" s="2">
        <v>741</v>
      </c>
      <c r="J30" s="2" t="s">
        <v>196</v>
      </c>
      <c r="K30" s="2" t="s">
        <v>396</v>
      </c>
      <c r="L30" s="3" t="s">
        <v>41</v>
      </c>
      <c r="M30" s="4"/>
      <c r="N30" s="4"/>
      <c r="O30" s="4"/>
      <c r="P30" s="4"/>
      <c r="Q30" s="4"/>
      <c r="R30" s="4"/>
      <c r="S30" s="4"/>
      <c r="T30" s="4"/>
      <c r="U30" s="4"/>
      <c r="V30" s="11" t="s">
        <v>297</v>
      </c>
    </row>
    <row r="31" spans="1:22" x14ac:dyDescent="0.3">
      <c r="A31" s="2" t="s">
        <v>397</v>
      </c>
      <c r="B31" s="2" t="s">
        <v>201</v>
      </c>
      <c r="C31" s="2" t="s">
        <v>189</v>
      </c>
      <c r="D31" s="2" t="s">
        <v>187</v>
      </c>
      <c r="E31" s="2" t="s">
        <v>398</v>
      </c>
      <c r="F31" s="2">
        <v>42.230115900000001</v>
      </c>
      <c r="G31" s="2">
        <v>-83.783346600000002</v>
      </c>
      <c r="H31" s="2">
        <v>4.3</v>
      </c>
      <c r="I31" s="2">
        <v>198</v>
      </c>
      <c r="J31" s="2" t="s">
        <v>202</v>
      </c>
      <c r="K31" s="2" t="s">
        <v>399</v>
      </c>
      <c r="L31" s="3" t="s">
        <v>41</v>
      </c>
      <c r="M31" s="4"/>
      <c r="N31" s="4"/>
      <c r="O31" s="4"/>
      <c r="P31" s="4"/>
      <c r="Q31" s="4"/>
      <c r="R31" s="4"/>
      <c r="S31" s="4"/>
      <c r="T31" s="4"/>
      <c r="U31" s="4"/>
      <c r="V31" s="12" t="s">
        <v>307</v>
      </c>
    </row>
    <row r="32" spans="1:22" x14ac:dyDescent="0.3">
      <c r="A32" s="2" t="s">
        <v>400</v>
      </c>
      <c r="B32" s="2" t="s">
        <v>197</v>
      </c>
      <c r="C32" s="2" t="s">
        <v>195</v>
      </c>
      <c r="D32" s="2" t="s">
        <v>187</v>
      </c>
      <c r="E32" s="2" t="s">
        <v>401</v>
      </c>
      <c r="F32" s="2">
        <v>42.259149499999999</v>
      </c>
      <c r="G32" s="2">
        <v>-83.570399499999994</v>
      </c>
      <c r="H32" s="2">
        <v>4.0999999999999996</v>
      </c>
      <c r="I32" s="2">
        <v>294</v>
      </c>
      <c r="J32" s="2" t="s">
        <v>198</v>
      </c>
      <c r="K32" s="2" t="s">
        <v>402</v>
      </c>
      <c r="L32" s="3" t="s">
        <v>41</v>
      </c>
      <c r="M32" s="4"/>
      <c r="N32" s="4"/>
      <c r="O32" s="4"/>
      <c r="P32" s="4"/>
      <c r="Q32" s="4"/>
      <c r="R32" s="4"/>
      <c r="S32" s="4"/>
      <c r="T32" s="4"/>
      <c r="U32" s="4"/>
      <c r="V32" s="13" t="s">
        <v>311</v>
      </c>
    </row>
    <row r="33" spans="1:22" x14ac:dyDescent="0.3">
      <c r="A33" s="2" t="s">
        <v>403</v>
      </c>
      <c r="B33" s="2" t="s">
        <v>205</v>
      </c>
      <c r="C33" s="2" t="s">
        <v>195</v>
      </c>
      <c r="D33" s="2" t="s">
        <v>187</v>
      </c>
      <c r="E33" s="2" t="s">
        <v>404</v>
      </c>
      <c r="F33" s="2">
        <v>42.205247100000001</v>
      </c>
      <c r="G33" s="2">
        <v>-83.624503599999997</v>
      </c>
      <c r="H33" s="2">
        <v>3.8</v>
      </c>
      <c r="I33" s="2">
        <v>341</v>
      </c>
      <c r="J33" s="2" t="s">
        <v>206</v>
      </c>
      <c r="K33" s="2" t="s">
        <v>405</v>
      </c>
      <c r="L33" s="3" t="s">
        <v>41</v>
      </c>
      <c r="M33" s="4"/>
      <c r="N33" s="4"/>
      <c r="O33" s="4"/>
      <c r="P33" s="4"/>
      <c r="Q33" s="4"/>
      <c r="R33" s="4"/>
      <c r="S33" s="4"/>
      <c r="T33" s="4"/>
      <c r="U33" s="4"/>
      <c r="V33" s="12" t="s">
        <v>356</v>
      </c>
    </row>
    <row r="34" spans="1:22" x14ac:dyDescent="0.3">
      <c r="A34" s="2" t="s">
        <v>406</v>
      </c>
      <c r="B34" s="2" t="s">
        <v>191</v>
      </c>
      <c r="C34" s="2" t="s">
        <v>192</v>
      </c>
      <c r="D34" s="2" t="s">
        <v>187</v>
      </c>
      <c r="E34" s="2" t="s">
        <v>407</v>
      </c>
      <c r="F34" s="2">
        <v>42.191813400000001</v>
      </c>
      <c r="G34" s="2">
        <v>-83.794189500000002</v>
      </c>
      <c r="H34" s="2">
        <v>4.2</v>
      </c>
      <c r="I34" s="2">
        <v>156</v>
      </c>
      <c r="J34" s="2" t="s">
        <v>193</v>
      </c>
      <c r="K34" s="2" t="s">
        <v>408</v>
      </c>
      <c r="L34" s="3" t="s">
        <v>41</v>
      </c>
      <c r="M34" s="4"/>
      <c r="N34" s="4"/>
      <c r="O34" s="4"/>
      <c r="P34" s="4"/>
      <c r="Q34" s="4"/>
      <c r="R34" s="4"/>
      <c r="S34" s="4"/>
      <c r="T34" s="4"/>
      <c r="U34" s="4"/>
      <c r="V34" s="13" t="s">
        <v>311</v>
      </c>
    </row>
    <row r="35" spans="1:22" x14ac:dyDescent="0.3">
      <c r="A35" s="2" t="s">
        <v>409</v>
      </c>
      <c r="B35" s="2" t="s">
        <v>94</v>
      </c>
      <c r="C35" s="2" t="s">
        <v>95</v>
      </c>
      <c r="D35" s="2" t="s">
        <v>64</v>
      </c>
      <c r="E35" s="2" t="s">
        <v>410</v>
      </c>
      <c r="F35" s="2">
        <v>42.506780300000003</v>
      </c>
      <c r="G35" s="2">
        <v>-83.142342900000003</v>
      </c>
      <c r="H35" s="2">
        <v>4.5999999999999996</v>
      </c>
      <c r="I35" s="2">
        <v>266</v>
      </c>
      <c r="J35" s="2" t="s">
        <v>96</v>
      </c>
      <c r="K35" s="2" t="s">
        <v>411</v>
      </c>
      <c r="L35" s="3" t="s">
        <v>65</v>
      </c>
      <c r="M35" s="4"/>
      <c r="N35" s="4"/>
      <c r="O35" s="4"/>
      <c r="P35" s="4"/>
      <c r="Q35" s="4"/>
      <c r="R35" s="4"/>
      <c r="S35" s="4"/>
      <c r="T35" s="4"/>
      <c r="U35" s="4"/>
      <c r="V35" s="14" t="s">
        <v>65</v>
      </c>
    </row>
    <row r="36" spans="1:22" x14ac:dyDescent="0.3">
      <c r="A36" s="2" t="s">
        <v>412</v>
      </c>
      <c r="B36" s="2" t="s">
        <v>97</v>
      </c>
      <c r="C36" s="2" t="s">
        <v>67</v>
      </c>
      <c r="D36" s="2" t="s">
        <v>64</v>
      </c>
      <c r="E36" s="2" t="s">
        <v>413</v>
      </c>
      <c r="F36" s="2">
        <v>42.589330799999999</v>
      </c>
      <c r="G36" s="2">
        <v>-83.240407099999999</v>
      </c>
      <c r="H36" s="2">
        <v>4.8</v>
      </c>
      <c r="I36" s="2">
        <v>41</v>
      </c>
      <c r="J36" s="2"/>
      <c r="K36" s="2" t="s">
        <v>414</v>
      </c>
      <c r="L36" s="3" t="s">
        <v>65</v>
      </c>
      <c r="M36" s="4"/>
      <c r="N36" s="4"/>
      <c r="O36" s="4"/>
      <c r="P36" s="4"/>
      <c r="Q36" s="4"/>
      <c r="R36" s="4"/>
      <c r="S36" s="4"/>
      <c r="T36" s="4"/>
      <c r="U36" s="4"/>
      <c r="V36" s="14" t="s">
        <v>65</v>
      </c>
    </row>
    <row r="37" spans="1:22" x14ac:dyDescent="0.3">
      <c r="A37" s="2" t="s">
        <v>415</v>
      </c>
      <c r="B37" s="2" t="s">
        <v>66</v>
      </c>
      <c r="C37" s="2" t="s">
        <v>67</v>
      </c>
      <c r="D37" s="2" t="s">
        <v>64</v>
      </c>
      <c r="E37" s="2" t="s">
        <v>416</v>
      </c>
      <c r="F37" s="2">
        <v>42.582906199999996</v>
      </c>
      <c r="G37" s="2">
        <v>-83.252639299999998</v>
      </c>
      <c r="H37" s="2">
        <v>4.4000000000000004</v>
      </c>
      <c r="I37" s="2">
        <v>121</v>
      </c>
      <c r="J37" s="2" t="s">
        <v>68</v>
      </c>
      <c r="K37" s="2" t="s">
        <v>417</v>
      </c>
      <c r="L37" s="3" t="s">
        <v>65</v>
      </c>
      <c r="M37" s="4">
        <v>18</v>
      </c>
      <c r="N37" s="4">
        <v>72</v>
      </c>
      <c r="O37" s="4">
        <v>1913</v>
      </c>
      <c r="P37" s="4" t="s">
        <v>418</v>
      </c>
      <c r="Q37" s="4"/>
      <c r="R37" s="4">
        <v>72.5</v>
      </c>
      <c r="S37" s="4">
        <v>129</v>
      </c>
      <c r="T37" s="4">
        <v>6711</v>
      </c>
      <c r="U37" s="4"/>
      <c r="V37" s="14" t="s">
        <v>65</v>
      </c>
    </row>
    <row r="38" spans="1:22" x14ac:dyDescent="0.3">
      <c r="A38" s="2" t="s">
        <v>419</v>
      </c>
      <c r="B38" s="2" t="s">
        <v>98</v>
      </c>
      <c r="C38" s="2" t="s">
        <v>77</v>
      </c>
      <c r="D38" s="2" t="s">
        <v>64</v>
      </c>
      <c r="E38" s="2" t="s">
        <v>420</v>
      </c>
      <c r="F38" s="2">
        <v>42.738699599999997</v>
      </c>
      <c r="G38" s="2">
        <v>-83.1820819</v>
      </c>
      <c r="H38" s="2">
        <v>4.5999999999999996</v>
      </c>
      <c r="I38" s="2">
        <v>269</v>
      </c>
      <c r="J38" s="2" t="s">
        <v>99</v>
      </c>
      <c r="K38" s="2" t="s">
        <v>421</v>
      </c>
      <c r="L38" s="3" t="s">
        <v>65</v>
      </c>
      <c r="M38" s="4"/>
      <c r="N38" s="4"/>
      <c r="O38" s="4"/>
      <c r="P38" s="4"/>
      <c r="Q38" s="4"/>
      <c r="R38" s="4"/>
      <c r="S38" s="4"/>
      <c r="T38" s="4"/>
      <c r="U38" s="4"/>
      <c r="V38" s="14" t="s">
        <v>65</v>
      </c>
    </row>
    <row r="39" spans="1:22" x14ac:dyDescent="0.3">
      <c r="A39" s="2" t="s">
        <v>422</v>
      </c>
      <c r="B39" s="2" t="s">
        <v>104</v>
      </c>
      <c r="C39" s="2" t="s">
        <v>105</v>
      </c>
      <c r="D39" s="2" t="s">
        <v>64</v>
      </c>
      <c r="E39" s="2" t="s">
        <v>322</v>
      </c>
      <c r="F39" s="2">
        <v>42.5145433</v>
      </c>
      <c r="G39" s="2">
        <v>-83.353785400000007</v>
      </c>
      <c r="H39" s="2">
        <v>4.5</v>
      </c>
      <c r="I39" s="2">
        <v>259</v>
      </c>
      <c r="J39" s="2" t="s">
        <v>107</v>
      </c>
      <c r="K39" s="2" t="s">
        <v>423</v>
      </c>
      <c r="L39" s="3" t="s">
        <v>106</v>
      </c>
      <c r="M39" s="4"/>
      <c r="N39" s="4"/>
      <c r="O39" s="4"/>
      <c r="P39" s="4"/>
      <c r="Q39" s="4"/>
      <c r="R39" s="4"/>
      <c r="S39" s="4"/>
      <c r="T39" s="4"/>
      <c r="U39" s="4"/>
      <c r="V39" s="14" t="s">
        <v>65</v>
      </c>
    </row>
    <row r="40" spans="1:22" x14ac:dyDescent="0.3">
      <c r="A40" s="2" t="s">
        <v>424</v>
      </c>
      <c r="B40" s="2" t="s">
        <v>81</v>
      </c>
      <c r="C40" s="2" t="s">
        <v>82</v>
      </c>
      <c r="D40" s="2" t="s">
        <v>64</v>
      </c>
      <c r="E40" s="2" t="s">
        <v>425</v>
      </c>
      <c r="F40" s="2">
        <v>42.544702100000002</v>
      </c>
      <c r="G40" s="2">
        <v>-83.328326899999993</v>
      </c>
      <c r="H40" s="2">
        <v>4.7</v>
      </c>
      <c r="I40" s="2">
        <v>90</v>
      </c>
      <c r="J40" s="2" t="s">
        <v>83</v>
      </c>
      <c r="K40" s="2" t="s">
        <v>426</v>
      </c>
      <c r="L40" s="3" t="s">
        <v>65</v>
      </c>
      <c r="M40" s="4"/>
      <c r="N40" s="4"/>
      <c r="O40" s="4"/>
      <c r="P40" s="4"/>
      <c r="Q40" s="4"/>
      <c r="R40" s="4"/>
      <c r="S40" s="4"/>
      <c r="T40" s="4"/>
      <c r="U40" s="4"/>
      <c r="V40" s="14" t="s">
        <v>65</v>
      </c>
    </row>
    <row r="41" spans="1:22" x14ac:dyDescent="0.3">
      <c r="A41" s="2" t="s">
        <v>427</v>
      </c>
      <c r="B41" s="2" t="s">
        <v>84</v>
      </c>
      <c r="C41" s="2" t="s">
        <v>67</v>
      </c>
      <c r="D41" s="2" t="s">
        <v>64</v>
      </c>
      <c r="E41" s="2" t="s">
        <v>428</v>
      </c>
      <c r="F41" s="2">
        <v>42.5438957</v>
      </c>
      <c r="G41" s="2">
        <v>-83.277687</v>
      </c>
      <c r="H41" s="2">
        <v>4.8</v>
      </c>
      <c r="I41" s="2">
        <v>274</v>
      </c>
      <c r="J41" s="2" t="s">
        <v>85</v>
      </c>
      <c r="K41" s="2" t="s">
        <v>429</v>
      </c>
      <c r="L41" s="3" t="s">
        <v>65</v>
      </c>
      <c r="M41" s="4">
        <v>36</v>
      </c>
      <c r="N41" s="4">
        <v>72</v>
      </c>
      <c r="O41" s="4">
        <v>1918</v>
      </c>
      <c r="P41" s="4" t="s">
        <v>372</v>
      </c>
      <c r="Q41" s="4"/>
      <c r="R41" s="4">
        <v>77</v>
      </c>
      <c r="S41" s="4">
        <v>145</v>
      </c>
      <c r="T41" s="4">
        <v>7509</v>
      </c>
      <c r="U41" s="4" t="s">
        <v>430</v>
      </c>
      <c r="V41" s="14" t="s">
        <v>65</v>
      </c>
    </row>
    <row r="42" spans="1:22" x14ac:dyDescent="0.3">
      <c r="A42" s="2" t="s">
        <v>431</v>
      </c>
      <c r="B42" s="2" t="s">
        <v>87</v>
      </c>
      <c r="C42" s="2" t="s">
        <v>82</v>
      </c>
      <c r="D42" s="2" t="s">
        <v>64</v>
      </c>
      <c r="E42" s="2" t="s">
        <v>432</v>
      </c>
      <c r="F42" s="2">
        <v>42.585863400000001</v>
      </c>
      <c r="G42" s="2">
        <v>-83.382677400000006</v>
      </c>
      <c r="H42" s="2">
        <v>4.7</v>
      </c>
      <c r="I42" s="2">
        <v>193</v>
      </c>
      <c r="J42" s="2" t="s">
        <v>88</v>
      </c>
      <c r="K42" s="2" t="s">
        <v>433</v>
      </c>
      <c r="L42" s="3" t="s">
        <v>65</v>
      </c>
      <c r="M42" s="4"/>
      <c r="N42" s="4"/>
      <c r="O42" s="4"/>
      <c r="P42" s="4"/>
      <c r="Q42" s="4"/>
      <c r="R42" s="4"/>
      <c r="S42" s="4"/>
      <c r="T42" s="4"/>
      <c r="U42" s="4"/>
      <c r="V42" s="14" t="s">
        <v>65</v>
      </c>
    </row>
    <row r="43" spans="1:22" x14ac:dyDescent="0.3">
      <c r="A43" s="2" t="s">
        <v>434</v>
      </c>
      <c r="B43" s="2" t="s">
        <v>89</v>
      </c>
      <c r="C43" s="2" t="s">
        <v>82</v>
      </c>
      <c r="D43" s="2" t="s">
        <v>64</v>
      </c>
      <c r="E43" s="2" t="s">
        <v>435</v>
      </c>
      <c r="F43" s="2">
        <v>42.592991900000001</v>
      </c>
      <c r="G43" s="2">
        <v>-83.343317099999993</v>
      </c>
      <c r="H43" s="2">
        <v>4.8</v>
      </c>
      <c r="I43" s="2">
        <v>257</v>
      </c>
      <c r="J43" s="2" t="s">
        <v>90</v>
      </c>
      <c r="K43" s="2" t="s">
        <v>436</v>
      </c>
      <c r="L43" s="3" t="s">
        <v>65</v>
      </c>
      <c r="M43" s="4"/>
      <c r="N43" s="4"/>
      <c r="O43" s="4"/>
      <c r="P43" s="4"/>
      <c r="Q43" s="4"/>
      <c r="R43" s="4"/>
      <c r="S43" s="4"/>
      <c r="T43" s="4"/>
      <c r="U43" s="4"/>
      <c r="V43" s="14" t="s">
        <v>65</v>
      </c>
    </row>
    <row r="44" spans="1:22" x14ac:dyDescent="0.3">
      <c r="A44" s="2" t="s">
        <v>437</v>
      </c>
      <c r="B44" s="2" t="s">
        <v>57</v>
      </c>
      <c r="C44" s="2" t="s">
        <v>19</v>
      </c>
      <c r="D44" s="2" t="s">
        <v>19</v>
      </c>
      <c r="E44" s="2" t="s">
        <v>438</v>
      </c>
      <c r="F44" s="2">
        <v>42.656244999999998</v>
      </c>
      <c r="G44" s="2">
        <v>-82.878148999999993</v>
      </c>
      <c r="H44" s="2">
        <v>3.9</v>
      </c>
      <c r="I44" s="2">
        <v>671</v>
      </c>
      <c r="J44" s="2" t="s">
        <v>58</v>
      </c>
      <c r="K44" s="2" t="s">
        <v>439</v>
      </c>
      <c r="L44" s="3" t="s">
        <v>41</v>
      </c>
      <c r="M44" s="4"/>
      <c r="N44" s="4"/>
      <c r="O44" s="4"/>
      <c r="P44" s="4"/>
      <c r="Q44" s="4"/>
      <c r="R44" s="4"/>
      <c r="S44" s="4"/>
      <c r="T44" s="4"/>
      <c r="U44" s="4"/>
      <c r="V44" s="13" t="s">
        <v>311</v>
      </c>
    </row>
    <row r="45" spans="1:22" x14ac:dyDescent="0.3">
      <c r="A45" s="2" t="s">
        <v>440</v>
      </c>
      <c r="B45" s="2" t="s">
        <v>55</v>
      </c>
      <c r="C45" s="2" t="s">
        <v>19</v>
      </c>
      <c r="D45" s="2" t="s">
        <v>19</v>
      </c>
      <c r="E45" s="2" t="s">
        <v>441</v>
      </c>
      <c r="F45" s="2">
        <v>42.660101900000001</v>
      </c>
      <c r="G45" s="2">
        <v>-82.8781587</v>
      </c>
      <c r="H45" s="2">
        <v>4.0999999999999996</v>
      </c>
      <c r="I45" s="2">
        <v>378</v>
      </c>
      <c r="J45" s="2" t="s">
        <v>56</v>
      </c>
      <c r="K45" s="2" t="s">
        <v>442</v>
      </c>
      <c r="L45" s="3" t="s">
        <v>41</v>
      </c>
      <c r="M45" s="4"/>
      <c r="N45" s="4"/>
      <c r="O45" s="4"/>
      <c r="P45" s="4"/>
      <c r="Q45" s="4"/>
      <c r="R45" s="4"/>
      <c r="S45" s="4"/>
      <c r="T45" s="4"/>
      <c r="U45" s="4"/>
      <c r="V45" s="13" t="s">
        <v>311</v>
      </c>
    </row>
    <row r="46" spans="1:22" x14ac:dyDescent="0.3">
      <c r="A46" s="2" t="s">
        <v>443</v>
      </c>
      <c r="B46" s="2" t="s">
        <v>50</v>
      </c>
      <c r="C46" s="2" t="s">
        <v>19</v>
      </c>
      <c r="D46" s="2" t="s">
        <v>19</v>
      </c>
      <c r="E46" s="2" t="s">
        <v>444</v>
      </c>
      <c r="F46" s="2">
        <v>42.6896171</v>
      </c>
      <c r="G46" s="2">
        <v>-82.942924399999995</v>
      </c>
      <c r="H46" s="2">
        <v>3.9</v>
      </c>
      <c r="I46" s="2">
        <v>130</v>
      </c>
      <c r="J46" s="2" t="s">
        <v>51</v>
      </c>
      <c r="K46" s="2" t="s">
        <v>445</v>
      </c>
      <c r="L46" s="3" t="s">
        <v>41</v>
      </c>
      <c r="M46" s="4"/>
      <c r="N46" s="4"/>
      <c r="O46" s="4"/>
      <c r="P46" s="4"/>
      <c r="Q46" s="4"/>
      <c r="R46" s="4"/>
      <c r="S46" s="4"/>
      <c r="T46" s="4"/>
      <c r="U46" s="4"/>
      <c r="V46" s="13" t="s">
        <v>311</v>
      </c>
    </row>
    <row r="47" spans="1:22" x14ac:dyDescent="0.3">
      <c r="A47" s="2" t="s">
        <v>446</v>
      </c>
      <c r="B47" s="2" t="s">
        <v>184</v>
      </c>
      <c r="C47" s="2" t="s">
        <v>185</v>
      </c>
      <c r="D47" s="2" t="s">
        <v>183</v>
      </c>
      <c r="E47" s="2" t="s">
        <v>447</v>
      </c>
      <c r="F47" s="2">
        <v>42.797695500000003</v>
      </c>
      <c r="G47" s="2">
        <v>-82.601354999999998</v>
      </c>
      <c r="H47" s="2">
        <v>4.3</v>
      </c>
      <c r="I47" s="2">
        <v>339</v>
      </c>
      <c r="J47" s="2" t="s">
        <v>186</v>
      </c>
      <c r="K47" s="2" t="s">
        <v>448</v>
      </c>
      <c r="L47" s="3" t="s">
        <v>41</v>
      </c>
      <c r="M47" s="4"/>
      <c r="N47" s="4"/>
      <c r="O47" s="4"/>
      <c r="P47" s="4"/>
      <c r="Q47" s="4"/>
      <c r="R47" s="4"/>
      <c r="S47" s="4"/>
      <c r="T47" s="4"/>
      <c r="U47" s="4"/>
      <c r="V47" s="12" t="s">
        <v>307</v>
      </c>
    </row>
    <row r="48" spans="1:22" x14ac:dyDescent="0.3">
      <c r="A48" s="2" t="s">
        <v>449</v>
      </c>
      <c r="B48" s="2" t="s">
        <v>48</v>
      </c>
      <c r="C48" s="2" t="s">
        <v>34</v>
      </c>
      <c r="D48" s="2" t="s">
        <v>19</v>
      </c>
      <c r="E48" s="2" t="s">
        <v>450</v>
      </c>
      <c r="F48" s="2">
        <v>42.676975900000002</v>
      </c>
      <c r="G48" s="2">
        <v>-83.021367400000003</v>
      </c>
      <c r="H48" s="2">
        <v>4.5</v>
      </c>
      <c r="I48" s="2">
        <v>1030</v>
      </c>
      <c r="J48" s="2" t="s">
        <v>49</v>
      </c>
      <c r="K48" s="2" t="s">
        <v>451</v>
      </c>
      <c r="L48" s="3" t="s">
        <v>41</v>
      </c>
      <c r="M48" s="4"/>
      <c r="N48" s="4"/>
      <c r="O48" s="4"/>
      <c r="P48" s="4"/>
      <c r="Q48" s="4"/>
      <c r="R48" s="4"/>
      <c r="S48" s="4"/>
      <c r="T48" s="4"/>
      <c r="U48" s="4"/>
      <c r="V48" s="11" t="s">
        <v>297</v>
      </c>
    </row>
    <row r="49" spans="1:22" x14ac:dyDescent="0.3">
      <c r="A49" s="2" t="s">
        <v>452</v>
      </c>
      <c r="B49" s="2" t="s">
        <v>59</v>
      </c>
      <c r="C49" s="2" t="s">
        <v>23</v>
      </c>
      <c r="D49" s="2" t="s">
        <v>19</v>
      </c>
      <c r="E49" s="2" t="s">
        <v>453</v>
      </c>
      <c r="F49" s="2">
        <v>42.755653299999999</v>
      </c>
      <c r="G49" s="2">
        <v>-83.036557200000004</v>
      </c>
      <c r="H49" s="2">
        <v>4.3</v>
      </c>
      <c r="I49" s="2">
        <v>378</v>
      </c>
      <c r="J49" s="2" t="s">
        <v>60</v>
      </c>
      <c r="K49" s="2" t="s">
        <v>454</v>
      </c>
      <c r="L49" s="3" t="s">
        <v>41</v>
      </c>
      <c r="M49" s="4"/>
      <c r="N49" s="4"/>
      <c r="O49" s="4"/>
      <c r="P49" s="4"/>
      <c r="Q49" s="4"/>
      <c r="R49" s="4"/>
      <c r="S49" s="4"/>
      <c r="T49" s="4"/>
      <c r="U49" s="4"/>
      <c r="V49" s="11" t="s">
        <v>455</v>
      </c>
    </row>
    <row r="50" spans="1:22" x14ac:dyDescent="0.3">
      <c r="A50" s="2" t="s">
        <v>456</v>
      </c>
      <c r="B50" s="2" t="s">
        <v>43</v>
      </c>
      <c r="C50" s="2" t="s">
        <v>19</v>
      </c>
      <c r="D50" s="2" t="s">
        <v>19</v>
      </c>
      <c r="E50" s="2" t="s">
        <v>457</v>
      </c>
      <c r="F50" s="2">
        <v>42.672508200000003</v>
      </c>
      <c r="G50" s="2">
        <v>-82.871765100000005</v>
      </c>
      <c r="H50" s="2">
        <v>3.9</v>
      </c>
      <c r="I50" s="2">
        <v>401</v>
      </c>
      <c r="J50" s="2" t="s">
        <v>44</v>
      </c>
      <c r="K50" s="2" t="s">
        <v>458</v>
      </c>
      <c r="L50" s="3" t="s">
        <v>41</v>
      </c>
      <c r="M50" s="4"/>
      <c r="N50" s="4"/>
      <c r="O50" s="4"/>
      <c r="P50" s="4"/>
      <c r="Q50" s="4"/>
      <c r="R50" s="4"/>
      <c r="S50" s="4"/>
      <c r="T50" s="4"/>
      <c r="U50" s="4"/>
      <c r="V50" s="13" t="s">
        <v>459</v>
      </c>
    </row>
    <row r="51" spans="1:22" x14ac:dyDescent="0.3">
      <c r="A51" s="2" t="s">
        <v>460</v>
      </c>
      <c r="B51" s="2" t="s">
        <v>45</v>
      </c>
      <c r="C51" s="2" t="s">
        <v>46</v>
      </c>
      <c r="D51" s="2" t="s">
        <v>19</v>
      </c>
      <c r="E51" s="2" t="s">
        <v>461</v>
      </c>
      <c r="F51" s="2">
        <v>42.823999999999998</v>
      </c>
      <c r="G51" s="2">
        <v>-83.051682999999997</v>
      </c>
      <c r="H51" s="2">
        <v>3.9</v>
      </c>
      <c r="I51" s="2">
        <v>187</v>
      </c>
      <c r="J51" s="2" t="s">
        <v>47</v>
      </c>
      <c r="K51" s="2" t="s">
        <v>462</v>
      </c>
      <c r="L51" s="3" t="s">
        <v>41</v>
      </c>
      <c r="M51" s="4"/>
      <c r="N51" s="4"/>
      <c r="O51" s="4"/>
      <c r="P51" s="4"/>
      <c r="Q51" s="4"/>
      <c r="R51" s="4"/>
      <c r="S51" s="4"/>
      <c r="T51" s="4"/>
      <c r="U51" s="4"/>
      <c r="V51" s="13" t="s">
        <v>311</v>
      </c>
    </row>
    <row r="52" spans="1:22" x14ac:dyDescent="0.3">
      <c r="A52" s="2" t="s">
        <v>463</v>
      </c>
      <c r="B52" s="2" t="s">
        <v>40</v>
      </c>
      <c r="C52" s="2" t="s">
        <v>19</v>
      </c>
      <c r="D52" s="2" t="s">
        <v>19</v>
      </c>
      <c r="E52" s="2" t="s">
        <v>464</v>
      </c>
      <c r="F52" s="2">
        <v>42.6475784</v>
      </c>
      <c r="G52" s="2">
        <v>-82.88073</v>
      </c>
      <c r="H52" s="2">
        <v>3.7</v>
      </c>
      <c r="I52" s="2">
        <v>231</v>
      </c>
      <c r="J52" s="2" t="s">
        <v>42</v>
      </c>
      <c r="K52" s="2" t="s">
        <v>465</v>
      </c>
      <c r="L52" s="3" t="s">
        <v>41</v>
      </c>
      <c r="M52" s="4"/>
      <c r="N52" s="4"/>
      <c r="O52" s="4"/>
      <c r="P52" s="4"/>
      <c r="Q52" s="4"/>
      <c r="R52" s="4"/>
      <c r="S52" s="4"/>
      <c r="T52" s="4"/>
      <c r="U52" s="4"/>
      <c r="V52" s="13" t="s">
        <v>311</v>
      </c>
    </row>
    <row r="53" spans="1:22" x14ac:dyDescent="0.3">
      <c r="A53" s="2" t="s">
        <v>466</v>
      </c>
      <c r="B53" s="2" t="s">
        <v>53</v>
      </c>
      <c r="C53" s="2" t="s">
        <v>46</v>
      </c>
      <c r="D53" s="2" t="s">
        <v>19</v>
      </c>
      <c r="E53" s="2" t="s">
        <v>467</v>
      </c>
      <c r="F53" s="2">
        <v>42.880274999999997</v>
      </c>
      <c r="G53" s="2">
        <v>-83.090995000000007</v>
      </c>
      <c r="H53" s="2">
        <v>4.5</v>
      </c>
      <c r="I53" s="2">
        <v>329</v>
      </c>
      <c r="J53" s="2" t="s">
        <v>54</v>
      </c>
      <c r="K53" s="2" t="s">
        <v>468</v>
      </c>
      <c r="L53" s="3" t="s">
        <v>41</v>
      </c>
      <c r="M53" s="4"/>
      <c r="N53" s="4"/>
      <c r="O53" s="4"/>
      <c r="P53" s="4"/>
      <c r="Q53" s="4"/>
      <c r="R53" s="4"/>
      <c r="S53" s="4"/>
      <c r="T53" s="4"/>
      <c r="U53" s="4"/>
      <c r="V53" s="13" t="s">
        <v>311</v>
      </c>
    </row>
    <row r="54" spans="1:22" x14ac:dyDescent="0.3">
      <c r="A54" s="2" t="s">
        <v>469</v>
      </c>
      <c r="B54" s="2" t="s">
        <v>176</v>
      </c>
      <c r="C54" s="2" t="s">
        <v>172</v>
      </c>
      <c r="D54" s="2" t="s">
        <v>64</v>
      </c>
      <c r="E54" s="2" t="s">
        <v>470</v>
      </c>
      <c r="F54" s="2">
        <v>42.602679000000002</v>
      </c>
      <c r="G54" s="2">
        <v>-83.130157999999994</v>
      </c>
      <c r="H54" s="2">
        <v>4.2</v>
      </c>
      <c r="I54" s="2">
        <v>647</v>
      </c>
      <c r="J54" s="2" t="s">
        <v>177</v>
      </c>
      <c r="K54" s="2" t="s">
        <v>471</v>
      </c>
      <c r="L54" s="3" t="s">
        <v>41</v>
      </c>
      <c r="M54" s="4"/>
      <c r="N54" s="4"/>
      <c r="O54" s="4"/>
      <c r="P54" s="4"/>
      <c r="Q54" s="4"/>
      <c r="R54" s="4"/>
      <c r="S54" s="4"/>
      <c r="T54" s="4"/>
      <c r="U54" s="4"/>
      <c r="V54" s="13" t="s">
        <v>311</v>
      </c>
    </row>
    <row r="55" spans="1:22" x14ac:dyDescent="0.3">
      <c r="A55" s="2" t="s">
        <v>472</v>
      </c>
      <c r="B55" s="2" t="s">
        <v>171</v>
      </c>
      <c r="C55" s="2" t="s">
        <v>172</v>
      </c>
      <c r="D55" s="2" t="s">
        <v>64</v>
      </c>
      <c r="E55" s="2" t="s">
        <v>473</v>
      </c>
      <c r="F55" s="2">
        <v>42.623658900000002</v>
      </c>
      <c r="G55" s="2">
        <v>-83.103786200000002</v>
      </c>
      <c r="H55" s="2">
        <v>3.9</v>
      </c>
      <c r="I55" s="2">
        <v>460</v>
      </c>
      <c r="J55" s="2" t="s">
        <v>173</v>
      </c>
      <c r="K55" s="2" t="s">
        <v>474</v>
      </c>
      <c r="L55" s="3" t="s">
        <v>41</v>
      </c>
      <c r="M55" s="4"/>
      <c r="N55" s="4"/>
      <c r="O55" s="4"/>
      <c r="P55" s="4"/>
      <c r="Q55" s="4"/>
      <c r="R55" s="4"/>
      <c r="S55" s="4"/>
      <c r="T55" s="4"/>
      <c r="U55" s="4"/>
      <c r="V55" s="13" t="s">
        <v>311</v>
      </c>
    </row>
    <row r="56" spans="1:22" x14ac:dyDescent="0.3">
      <c r="A56" s="2" t="s">
        <v>475</v>
      </c>
      <c r="B56" s="2" t="s">
        <v>166</v>
      </c>
      <c r="C56" s="2" t="s">
        <v>77</v>
      </c>
      <c r="D56" s="2" t="s">
        <v>64</v>
      </c>
      <c r="E56" s="2" t="s">
        <v>476</v>
      </c>
      <c r="F56" s="2">
        <v>42.624231399999999</v>
      </c>
      <c r="G56" s="2">
        <v>-83.197305799999995</v>
      </c>
      <c r="H56" s="2">
        <v>3.4</v>
      </c>
      <c r="I56" s="2">
        <v>228</v>
      </c>
      <c r="J56" s="2" t="s">
        <v>167</v>
      </c>
      <c r="K56" s="2" t="s">
        <v>477</v>
      </c>
      <c r="L56" s="3" t="s">
        <v>41</v>
      </c>
      <c r="M56" s="4"/>
      <c r="N56" s="4"/>
      <c r="O56" s="4"/>
      <c r="P56" s="4"/>
      <c r="Q56" s="4"/>
      <c r="R56" s="4"/>
      <c r="S56" s="4"/>
      <c r="T56" s="4"/>
      <c r="U56" s="4"/>
      <c r="V56" s="12" t="s">
        <v>307</v>
      </c>
    </row>
    <row r="57" spans="1:22" x14ac:dyDescent="0.3">
      <c r="A57" s="2" t="s">
        <v>478</v>
      </c>
      <c r="B57" s="2" t="s">
        <v>157</v>
      </c>
      <c r="C57" s="2" t="s">
        <v>77</v>
      </c>
      <c r="D57" s="2" t="s">
        <v>64</v>
      </c>
      <c r="E57" s="2" t="s">
        <v>479</v>
      </c>
      <c r="F57" s="2">
        <v>42.642738999999999</v>
      </c>
      <c r="G57" s="2">
        <v>-83.120490000000004</v>
      </c>
      <c r="H57" s="2">
        <v>4</v>
      </c>
      <c r="I57" s="2">
        <v>125</v>
      </c>
      <c r="J57" s="2" t="s">
        <v>158</v>
      </c>
      <c r="K57" s="2" t="s">
        <v>480</v>
      </c>
      <c r="L57" s="3" t="s">
        <v>41</v>
      </c>
      <c r="M57" s="4"/>
      <c r="N57" s="4"/>
      <c r="O57" s="4"/>
      <c r="P57" s="4"/>
      <c r="Q57" s="4"/>
      <c r="R57" s="4"/>
      <c r="S57" s="4"/>
      <c r="T57" s="4"/>
      <c r="U57" s="4"/>
      <c r="V57" s="13" t="s">
        <v>311</v>
      </c>
    </row>
    <row r="58" spans="1:22" x14ac:dyDescent="0.3">
      <c r="A58" s="2" t="s">
        <v>481</v>
      </c>
      <c r="B58" s="2" t="s">
        <v>174</v>
      </c>
      <c r="C58" s="2" t="s">
        <v>172</v>
      </c>
      <c r="D58" s="2" t="s">
        <v>64</v>
      </c>
      <c r="E58" s="2" t="s">
        <v>482</v>
      </c>
      <c r="F58" s="2">
        <v>42.558334299999999</v>
      </c>
      <c r="G58" s="2">
        <v>-83.180168100000003</v>
      </c>
      <c r="H58" s="2">
        <v>3.6</v>
      </c>
      <c r="I58" s="2">
        <v>98</v>
      </c>
      <c r="J58" s="2" t="s">
        <v>175</v>
      </c>
      <c r="K58" s="2" t="s">
        <v>483</v>
      </c>
      <c r="L58" s="3" t="s">
        <v>41</v>
      </c>
      <c r="M58" s="4"/>
      <c r="N58" s="4"/>
      <c r="O58" s="4"/>
      <c r="P58" s="4"/>
      <c r="Q58" s="4"/>
      <c r="R58" s="4"/>
      <c r="S58" s="4"/>
      <c r="T58" s="4"/>
      <c r="U58" s="4"/>
      <c r="V58" s="13" t="s">
        <v>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34" customWidth="1"/>
    <col min="3" max="3" width="12" customWidth="1"/>
    <col min="4" max="4" width="7" customWidth="1"/>
    <col min="5" max="5" width="9" customWidth="1"/>
    <col min="6" max="6" width="15" customWidth="1"/>
    <col min="7" max="7" width="11" customWidth="1"/>
    <col min="8" max="8" width="15" customWidth="1"/>
    <col min="9" max="9" width="40" customWidth="1"/>
  </cols>
  <sheetData>
    <row r="1" spans="1:9" ht="26.4" x14ac:dyDescent="0.3">
      <c r="A1" s="1" t="s">
        <v>275</v>
      </c>
      <c r="B1" s="1" t="s">
        <v>484</v>
      </c>
      <c r="C1" s="1" t="s">
        <v>485</v>
      </c>
      <c r="D1" s="1" t="s">
        <v>283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</row>
    <row r="2" spans="1:9" x14ac:dyDescent="0.3">
      <c r="A2" s="5" t="s">
        <v>291</v>
      </c>
      <c r="B2" s="5" t="s">
        <v>491</v>
      </c>
      <c r="C2" s="5" t="s">
        <v>492</v>
      </c>
      <c r="D2" s="5" t="s">
        <v>493</v>
      </c>
      <c r="E2" s="5" t="s">
        <v>494</v>
      </c>
      <c r="F2" s="5" t="s">
        <v>495</v>
      </c>
      <c r="G2" s="5">
        <v>59</v>
      </c>
      <c r="H2" s="5" t="s">
        <v>496</v>
      </c>
      <c r="I2" s="5" t="s">
        <v>497</v>
      </c>
    </row>
    <row r="3" spans="1:9" x14ac:dyDescent="0.3">
      <c r="A3" s="6" t="s">
        <v>291</v>
      </c>
      <c r="B3" s="6" t="s">
        <v>267</v>
      </c>
      <c r="C3" s="6" t="s">
        <v>498</v>
      </c>
      <c r="D3" s="6" t="s">
        <v>493</v>
      </c>
      <c r="E3" s="6" t="s">
        <v>494</v>
      </c>
      <c r="F3" s="6" t="s">
        <v>495</v>
      </c>
      <c r="G3" s="7"/>
      <c r="H3" s="7"/>
      <c r="I3" s="7"/>
    </row>
    <row r="4" spans="1:9" x14ac:dyDescent="0.3">
      <c r="A4" s="6" t="s">
        <v>291</v>
      </c>
      <c r="B4" s="6" t="s">
        <v>267</v>
      </c>
      <c r="C4" s="6" t="s">
        <v>492</v>
      </c>
      <c r="D4" s="6" t="s">
        <v>493</v>
      </c>
      <c r="E4" s="6" t="s">
        <v>494</v>
      </c>
      <c r="F4" s="6" t="s">
        <v>495</v>
      </c>
      <c r="G4" s="7"/>
      <c r="H4" s="7"/>
      <c r="I4" s="7"/>
    </row>
    <row r="5" spans="1:9" x14ac:dyDescent="0.3">
      <c r="A5" s="6" t="s">
        <v>291</v>
      </c>
      <c r="B5" s="6" t="s">
        <v>267</v>
      </c>
      <c r="C5" s="6" t="s">
        <v>499</v>
      </c>
      <c r="D5" s="6" t="s">
        <v>493</v>
      </c>
      <c r="E5" s="6" t="s">
        <v>494</v>
      </c>
      <c r="F5" s="6" t="s">
        <v>495</v>
      </c>
      <c r="G5" s="7"/>
      <c r="H5" s="7"/>
      <c r="I5" s="7"/>
    </row>
    <row r="6" spans="1:9" x14ac:dyDescent="0.3">
      <c r="A6" s="6" t="s">
        <v>298</v>
      </c>
      <c r="B6" s="6" t="s">
        <v>272</v>
      </c>
      <c r="C6" s="6" t="s">
        <v>498</v>
      </c>
      <c r="D6" s="6" t="s">
        <v>493</v>
      </c>
      <c r="E6" s="6" t="s">
        <v>494</v>
      </c>
      <c r="F6" s="6" t="s">
        <v>495</v>
      </c>
      <c r="G6" s="7"/>
      <c r="H6" s="7"/>
      <c r="I6" s="7"/>
    </row>
    <row r="7" spans="1:9" x14ac:dyDescent="0.3">
      <c r="A7" s="6" t="s">
        <v>298</v>
      </c>
      <c r="B7" s="6" t="s">
        <v>272</v>
      </c>
      <c r="C7" s="6" t="s">
        <v>492</v>
      </c>
      <c r="D7" s="6" t="s">
        <v>493</v>
      </c>
      <c r="E7" s="6" t="s">
        <v>494</v>
      </c>
      <c r="F7" s="6" t="s">
        <v>495</v>
      </c>
      <c r="G7" s="7"/>
      <c r="H7" s="7"/>
      <c r="I7" s="7"/>
    </row>
    <row r="8" spans="1:9" x14ac:dyDescent="0.3">
      <c r="A8" s="6" t="s">
        <v>298</v>
      </c>
      <c r="B8" s="6" t="s">
        <v>272</v>
      </c>
      <c r="C8" s="6" t="s">
        <v>499</v>
      </c>
      <c r="D8" s="6" t="s">
        <v>493</v>
      </c>
      <c r="E8" s="6" t="s">
        <v>494</v>
      </c>
      <c r="F8" s="6" t="s">
        <v>495</v>
      </c>
      <c r="G8" s="7"/>
      <c r="H8" s="7"/>
      <c r="I8" s="7"/>
    </row>
    <row r="9" spans="1:9" x14ac:dyDescent="0.3">
      <c r="A9" s="6" t="s">
        <v>304</v>
      </c>
      <c r="B9" s="6" t="s">
        <v>161</v>
      </c>
      <c r="C9" s="6" t="s">
        <v>498</v>
      </c>
      <c r="D9" s="6" t="s">
        <v>493</v>
      </c>
      <c r="E9" s="6" t="s">
        <v>494</v>
      </c>
      <c r="F9" s="6" t="s">
        <v>495</v>
      </c>
      <c r="G9" s="7"/>
      <c r="H9" s="7"/>
      <c r="I9" s="7"/>
    </row>
    <row r="10" spans="1:9" x14ac:dyDescent="0.3">
      <c r="A10" s="6" t="s">
        <v>304</v>
      </c>
      <c r="B10" s="6" t="s">
        <v>161</v>
      </c>
      <c r="C10" s="6" t="s">
        <v>492</v>
      </c>
      <c r="D10" s="6" t="s">
        <v>493</v>
      </c>
      <c r="E10" s="6" t="s">
        <v>494</v>
      </c>
      <c r="F10" s="6" t="s">
        <v>495</v>
      </c>
      <c r="G10" s="7"/>
      <c r="H10" s="7"/>
      <c r="I10" s="7"/>
    </row>
    <row r="11" spans="1:9" x14ac:dyDescent="0.3">
      <c r="A11" s="6" t="s">
        <v>304</v>
      </c>
      <c r="B11" s="6" t="s">
        <v>161</v>
      </c>
      <c r="C11" s="6" t="s">
        <v>499</v>
      </c>
      <c r="D11" s="6" t="s">
        <v>493</v>
      </c>
      <c r="E11" s="6" t="s">
        <v>494</v>
      </c>
      <c r="F11" s="6" t="s">
        <v>495</v>
      </c>
      <c r="G11" s="7"/>
      <c r="H11" s="7"/>
      <c r="I11" s="7"/>
    </row>
    <row r="12" spans="1:9" x14ac:dyDescent="0.3">
      <c r="A12" s="6" t="s">
        <v>308</v>
      </c>
      <c r="B12" s="6" t="s">
        <v>270</v>
      </c>
      <c r="C12" s="6" t="s">
        <v>498</v>
      </c>
      <c r="D12" s="6" t="s">
        <v>493</v>
      </c>
      <c r="E12" s="6" t="s">
        <v>494</v>
      </c>
      <c r="F12" s="6" t="s">
        <v>495</v>
      </c>
      <c r="G12" s="7"/>
      <c r="H12" s="7"/>
      <c r="I12" s="7"/>
    </row>
    <row r="13" spans="1:9" x14ac:dyDescent="0.3">
      <c r="A13" s="6" t="s">
        <v>308</v>
      </c>
      <c r="B13" s="6" t="s">
        <v>270</v>
      </c>
      <c r="C13" s="6" t="s">
        <v>492</v>
      </c>
      <c r="D13" s="6" t="s">
        <v>493</v>
      </c>
      <c r="E13" s="6" t="s">
        <v>494</v>
      </c>
      <c r="F13" s="6" t="s">
        <v>495</v>
      </c>
      <c r="G13" s="7"/>
      <c r="H13" s="7"/>
      <c r="I13" s="7"/>
    </row>
    <row r="14" spans="1:9" x14ac:dyDescent="0.3">
      <c r="A14" s="6" t="s">
        <v>308</v>
      </c>
      <c r="B14" s="6" t="s">
        <v>270</v>
      </c>
      <c r="C14" s="6" t="s">
        <v>499</v>
      </c>
      <c r="D14" s="6" t="s">
        <v>493</v>
      </c>
      <c r="E14" s="6" t="s">
        <v>494</v>
      </c>
      <c r="F14" s="6" t="s">
        <v>495</v>
      </c>
      <c r="G14" s="7"/>
      <c r="H14" s="7"/>
      <c r="I14" s="7"/>
    </row>
    <row r="15" spans="1:9" x14ac:dyDescent="0.3">
      <c r="A15" s="6" t="s">
        <v>312</v>
      </c>
      <c r="B15" s="6" t="s">
        <v>153</v>
      </c>
      <c r="C15" s="6" t="s">
        <v>498</v>
      </c>
      <c r="D15" s="6" t="s">
        <v>493</v>
      </c>
      <c r="E15" s="6" t="s">
        <v>494</v>
      </c>
      <c r="F15" s="6" t="s">
        <v>495</v>
      </c>
      <c r="G15" s="7"/>
      <c r="H15" s="7"/>
      <c r="I15" s="7"/>
    </row>
    <row r="16" spans="1:9" x14ac:dyDescent="0.3">
      <c r="A16" s="6" t="s">
        <v>312</v>
      </c>
      <c r="B16" s="6" t="s">
        <v>153</v>
      </c>
      <c r="C16" s="6" t="s">
        <v>492</v>
      </c>
      <c r="D16" s="6" t="s">
        <v>493</v>
      </c>
      <c r="E16" s="6" t="s">
        <v>494</v>
      </c>
      <c r="F16" s="6" t="s">
        <v>495</v>
      </c>
      <c r="G16" s="7"/>
      <c r="H16" s="7"/>
      <c r="I16" s="7"/>
    </row>
    <row r="17" spans="1:9" x14ac:dyDescent="0.3">
      <c r="A17" s="6" t="s">
        <v>312</v>
      </c>
      <c r="B17" s="6" t="s">
        <v>153</v>
      </c>
      <c r="C17" s="6" t="s">
        <v>499</v>
      </c>
      <c r="D17" s="6" t="s">
        <v>493</v>
      </c>
      <c r="E17" s="6" t="s">
        <v>494</v>
      </c>
      <c r="F17" s="6" t="s">
        <v>495</v>
      </c>
      <c r="G17" s="7"/>
      <c r="H17" s="7"/>
      <c r="I17" s="7"/>
    </row>
    <row r="18" spans="1:9" x14ac:dyDescent="0.3">
      <c r="A18" s="6" t="s">
        <v>315</v>
      </c>
      <c r="B18" s="6" t="s">
        <v>164</v>
      </c>
      <c r="C18" s="6" t="s">
        <v>498</v>
      </c>
      <c r="D18" s="6" t="s">
        <v>493</v>
      </c>
      <c r="E18" s="6" t="s">
        <v>494</v>
      </c>
      <c r="F18" s="6" t="s">
        <v>495</v>
      </c>
      <c r="G18" s="7"/>
      <c r="H18" s="7"/>
      <c r="I18" s="7"/>
    </row>
    <row r="19" spans="1:9" x14ac:dyDescent="0.3">
      <c r="A19" s="6" t="s">
        <v>315</v>
      </c>
      <c r="B19" s="6" t="s">
        <v>164</v>
      </c>
      <c r="C19" s="6" t="s">
        <v>492</v>
      </c>
      <c r="D19" s="6" t="s">
        <v>493</v>
      </c>
      <c r="E19" s="6" t="s">
        <v>494</v>
      </c>
      <c r="F19" s="6" t="s">
        <v>495</v>
      </c>
      <c r="G19" s="7"/>
      <c r="H19" s="7"/>
      <c r="I19" s="7"/>
    </row>
    <row r="20" spans="1:9" x14ac:dyDescent="0.3">
      <c r="A20" s="6" t="s">
        <v>315</v>
      </c>
      <c r="B20" s="6" t="s">
        <v>164</v>
      </c>
      <c r="C20" s="6" t="s">
        <v>499</v>
      </c>
      <c r="D20" s="6" t="s">
        <v>493</v>
      </c>
      <c r="E20" s="6" t="s">
        <v>494</v>
      </c>
      <c r="F20" s="6" t="s">
        <v>495</v>
      </c>
      <c r="G20" s="7"/>
      <c r="H20" s="7"/>
      <c r="I20" s="7"/>
    </row>
    <row r="21" spans="1:9" x14ac:dyDescent="0.3">
      <c r="A21" s="6" t="s">
        <v>318</v>
      </c>
      <c r="B21" s="6" t="s">
        <v>149</v>
      </c>
      <c r="C21" s="6" t="s">
        <v>498</v>
      </c>
      <c r="D21" s="6" t="s">
        <v>493</v>
      </c>
      <c r="E21" s="6" t="s">
        <v>494</v>
      </c>
      <c r="F21" s="6" t="s">
        <v>495</v>
      </c>
      <c r="G21" s="7"/>
      <c r="H21" s="7"/>
      <c r="I21" s="7"/>
    </row>
    <row r="22" spans="1:9" x14ac:dyDescent="0.3">
      <c r="A22" s="6" t="s">
        <v>318</v>
      </c>
      <c r="B22" s="6" t="s">
        <v>149</v>
      </c>
      <c r="C22" s="6" t="s">
        <v>492</v>
      </c>
      <c r="D22" s="6" t="s">
        <v>493</v>
      </c>
      <c r="E22" s="6" t="s">
        <v>494</v>
      </c>
      <c r="F22" s="6" t="s">
        <v>495</v>
      </c>
      <c r="G22" s="7"/>
      <c r="H22" s="7"/>
      <c r="I22" s="7"/>
    </row>
    <row r="23" spans="1:9" x14ac:dyDescent="0.3">
      <c r="A23" s="6" t="s">
        <v>318</v>
      </c>
      <c r="B23" s="6" t="s">
        <v>149</v>
      </c>
      <c r="C23" s="6" t="s">
        <v>499</v>
      </c>
      <c r="D23" s="6" t="s">
        <v>493</v>
      </c>
      <c r="E23" s="6" t="s">
        <v>494</v>
      </c>
      <c r="F23" s="6" t="s">
        <v>495</v>
      </c>
      <c r="G23" s="7"/>
      <c r="H23" s="7"/>
      <c r="I23" s="7"/>
    </row>
    <row r="24" spans="1:9" x14ac:dyDescent="0.3">
      <c r="A24" s="6" t="s">
        <v>321</v>
      </c>
      <c r="B24" s="6" t="s">
        <v>155</v>
      </c>
      <c r="C24" s="6" t="s">
        <v>498</v>
      </c>
      <c r="D24" s="6" t="s">
        <v>493</v>
      </c>
      <c r="E24" s="6" t="s">
        <v>494</v>
      </c>
      <c r="F24" s="6" t="s">
        <v>495</v>
      </c>
      <c r="G24" s="7"/>
      <c r="H24" s="7"/>
      <c r="I24" s="7" t="s">
        <v>500</v>
      </c>
    </row>
    <row r="25" spans="1:9" x14ac:dyDescent="0.3">
      <c r="A25" s="6" t="s">
        <v>321</v>
      </c>
      <c r="B25" s="6" t="s">
        <v>155</v>
      </c>
      <c r="C25" s="6" t="s">
        <v>492</v>
      </c>
      <c r="D25" s="6" t="s">
        <v>493</v>
      </c>
      <c r="E25" s="6" t="s">
        <v>494</v>
      </c>
      <c r="F25" s="6" t="s">
        <v>495</v>
      </c>
      <c r="G25" s="7"/>
      <c r="H25" s="7"/>
      <c r="I25" s="7"/>
    </row>
    <row r="26" spans="1:9" x14ac:dyDescent="0.3">
      <c r="A26" s="6" t="s">
        <v>321</v>
      </c>
      <c r="B26" s="6" t="s">
        <v>155</v>
      </c>
      <c r="C26" s="6" t="s">
        <v>499</v>
      </c>
      <c r="D26" s="6" t="s">
        <v>493</v>
      </c>
      <c r="E26" s="6" t="s">
        <v>494</v>
      </c>
      <c r="F26" s="6" t="s">
        <v>495</v>
      </c>
      <c r="G26" s="7"/>
      <c r="H26" s="7"/>
      <c r="I26" s="7"/>
    </row>
    <row r="27" spans="1:9" x14ac:dyDescent="0.3">
      <c r="A27" s="6" t="s">
        <v>324</v>
      </c>
      <c r="B27" s="6" t="s">
        <v>245</v>
      </c>
      <c r="C27" s="6" t="s">
        <v>498</v>
      </c>
      <c r="D27" s="6" t="s">
        <v>493</v>
      </c>
      <c r="E27" s="6" t="s">
        <v>494</v>
      </c>
      <c r="F27" s="6" t="s">
        <v>495</v>
      </c>
      <c r="G27" s="7"/>
      <c r="H27" s="7"/>
      <c r="I27" s="7"/>
    </row>
    <row r="28" spans="1:9" x14ac:dyDescent="0.3">
      <c r="A28" s="6" t="s">
        <v>324</v>
      </c>
      <c r="B28" s="6" t="s">
        <v>245</v>
      </c>
      <c r="C28" s="6" t="s">
        <v>492</v>
      </c>
      <c r="D28" s="6" t="s">
        <v>493</v>
      </c>
      <c r="E28" s="6" t="s">
        <v>494</v>
      </c>
      <c r="F28" s="6" t="s">
        <v>495</v>
      </c>
      <c r="G28" s="7"/>
      <c r="H28" s="7"/>
      <c r="I28" s="7"/>
    </row>
    <row r="29" spans="1:9" x14ac:dyDescent="0.3">
      <c r="A29" s="6" t="s">
        <v>324</v>
      </c>
      <c r="B29" s="6" t="s">
        <v>245</v>
      </c>
      <c r="C29" s="6" t="s">
        <v>499</v>
      </c>
      <c r="D29" s="6" t="s">
        <v>493</v>
      </c>
      <c r="E29" s="6" t="s">
        <v>494</v>
      </c>
      <c r="F29" s="6" t="s">
        <v>495</v>
      </c>
      <c r="G29" s="7"/>
      <c r="H29" s="7"/>
      <c r="I29" s="7"/>
    </row>
    <row r="30" spans="1:9" x14ac:dyDescent="0.3">
      <c r="A30" s="6" t="s">
        <v>327</v>
      </c>
      <c r="B30" s="6" t="s">
        <v>261</v>
      </c>
      <c r="C30" s="6" t="s">
        <v>498</v>
      </c>
      <c r="D30" s="6" t="s">
        <v>493</v>
      </c>
      <c r="E30" s="6" t="s">
        <v>494</v>
      </c>
      <c r="F30" s="6" t="s">
        <v>495</v>
      </c>
      <c r="G30" s="7"/>
      <c r="H30" s="7"/>
      <c r="I30" s="7"/>
    </row>
    <row r="31" spans="1:9" x14ac:dyDescent="0.3">
      <c r="A31" s="6" t="s">
        <v>327</v>
      </c>
      <c r="B31" s="6" t="s">
        <v>261</v>
      </c>
      <c r="C31" s="6" t="s">
        <v>492</v>
      </c>
      <c r="D31" s="6" t="s">
        <v>493</v>
      </c>
      <c r="E31" s="6" t="s">
        <v>494</v>
      </c>
      <c r="F31" s="6" t="s">
        <v>495</v>
      </c>
      <c r="G31" s="7"/>
      <c r="H31" s="7"/>
      <c r="I31" s="7"/>
    </row>
    <row r="32" spans="1:9" x14ac:dyDescent="0.3">
      <c r="A32" s="6" t="s">
        <v>327</v>
      </c>
      <c r="B32" s="6" t="s">
        <v>261</v>
      </c>
      <c r="C32" s="6" t="s">
        <v>499</v>
      </c>
      <c r="D32" s="6" t="s">
        <v>493</v>
      </c>
      <c r="E32" s="6" t="s">
        <v>494</v>
      </c>
      <c r="F32" s="6" t="s">
        <v>495</v>
      </c>
      <c r="G32" s="7"/>
      <c r="H32" s="7"/>
      <c r="I32" s="7"/>
    </row>
    <row r="33" spans="1:9" x14ac:dyDescent="0.3">
      <c r="A33" s="6" t="s">
        <v>330</v>
      </c>
      <c r="B33" s="6" t="s">
        <v>248</v>
      </c>
      <c r="C33" s="6" t="s">
        <v>498</v>
      </c>
      <c r="D33" s="6" t="s">
        <v>493</v>
      </c>
      <c r="E33" s="6" t="s">
        <v>494</v>
      </c>
      <c r="F33" s="6" t="s">
        <v>495</v>
      </c>
      <c r="G33" s="7"/>
      <c r="H33" s="7"/>
      <c r="I33" s="7" t="s">
        <v>500</v>
      </c>
    </row>
    <row r="34" spans="1:9" x14ac:dyDescent="0.3">
      <c r="A34" s="6" t="s">
        <v>330</v>
      </c>
      <c r="B34" s="6" t="s">
        <v>248</v>
      </c>
      <c r="C34" s="6" t="s">
        <v>492</v>
      </c>
      <c r="D34" s="6" t="s">
        <v>493</v>
      </c>
      <c r="E34" s="6" t="s">
        <v>494</v>
      </c>
      <c r="F34" s="6" t="s">
        <v>495</v>
      </c>
      <c r="G34" s="7"/>
      <c r="H34" s="7"/>
      <c r="I34" s="7"/>
    </row>
    <row r="35" spans="1:9" x14ac:dyDescent="0.3">
      <c r="A35" s="6" t="s">
        <v>330</v>
      </c>
      <c r="B35" s="6" t="s">
        <v>248</v>
      </c>
      <c r="C35" s="6" t="s">
        <v>499</v>
      </c>
      <c r="D35" s="6" t="s">
        <v>493</v>
      </c>
      <c r="E35" s="6" t="s">
        <v>494</v>
      </c>
      <c r="F35" s="6" t="s">
        <v>495</v>
      </c>
      <c r="G35" s="7"/>
      <c r="H35" s="7"/>
      <c r="I35" s="7"/>
    </row>
    <row r="36" spans="1:9" x14ac:dyDescent="0.3">
      <c r="A36" s="6" t="s">
        <v>333</v>
      </c>
      <c r="B36" s="6" t="s">
        <v>235</v>
      </c>
      <c r="C36" s="6" t="s">
        <v>498</v>
      </c>
      <c r="D36" s="6" t="s">
        <v>493</v>
      </c>
      <c r="E36" s="6" t="s">
        <v>494</v>
      </c>
      <c r="F36" s="6" t="s">
        <v>495</v>
      </c>
      <c r="G36" s="7"/>
      <c r="H36" s="7"/>
      <c r="I36" s="7"/>
    </row>
    <row r="37" spans="1:9" x14ac:dyDescent="0.3">
      <c r="A37" s="6" t="s">
        <v>333</v>
      </c>
      <c r="B37" s="6" t="s">
        <v>235</v>
      </c>
      <c r="C37" s="6" t="s">
        <v>492</v>
      </c>
      <c r="D37" s="6" t="s">
        <v>493</v>
      </c>
      <c r="E37" s="6" t="s">
        <v>494</v>
      </c>
      <c r="F37" s="6" t="s">
        <v>495</v>
      </c>
      <c r="G37" s="7"/>
      <c r="H37" s="7"/>
      <c r="I37" s="7"/>
    </row>
    <row r="38" spans="1:9" x14ac:dyDescent="0.3">
      <c r="A38" s="6" t="s">
        <v>333</v>
      </c>
      <c r="B38" s="6" t="s">
        <v>235</v>
      </c>
      <c r="C38" s="6" t="s">
        <v>499</v>
      </c>
      <c r="D38" s="6" t="s">
        <v>493</v>
      </c>
      <c r="E38" s="6" t="s">
        <v>494</v>
      </c>
      <c r="F38" s="6" t="s">
        <v>495</v>
      </c>
      <c r="G38" s="7"/>
      <c r="H38" s="7"/>
      <c r="I38" s="7"/>
    </row>
    <row r="39" spans="1:9" x14ac:dyDescent="0.3">
      <c r="A39" s="6" t="s">
        <v>338</v>
      </c>
      <c r="B39" s="6" t="s">
        <v>251</v>
      </c>
      <c r="C39" s="6" t="s">
        <v>498</v>
      </c>
      <c r="D39" s="6" t="s">
        <v>493</v>
      </c>
      <c r="E39" s="6" t="s">
        <v>494</v>
      </c>
      <c r="F39" s="6" t="s">
        <v>495</v>
      </c>
      <c r="G39" s="7"/>
      <c r="H39" s="7"/>
      <c r="I39" s="7"/>
    </row>
    <row r="40" spans="1:9" x14ac:dyDescent="0.3">
      <c r="A40" s="6" t="s">
        <v>338</v>
      </c>
      <c r="B40" s="6" t="s">
        <v>251</v>
      </c>
      <c r="C40" s="6" t="s">
        <v>492</v>
      </c>
      <c r="D40" s="6" t="s">
        <v>493</v>
      </c>
      <c r="E40" s="6" t="s">
        <v>494</v>
      </c>
      <c r="F40" s="6" t="s">
        <v>495</v>
      </c>
      <c r="G40" s="7"/>
      <c r="H40" s="7"/>
      <c r="I40" s="7"/>
    </row>
    <row r="41" spans="1:9" x14ac:dyDescent="0.3">
      <c r="A41" s="6" t="s">
        <v>338</v>
      </c>
      <c r="B41" s="6" t="s">
        <v>251</v>
      </c>
      <c r="C41" s="6" t="s">
        <v>499</v>
      </c>
      <c r="D41" s="6" t="s">
        <v>493</v>
      </c>
      <c r="E41" s="6" t="s">
        <v>494</v>
      </c>
      <c r="F41" s="6" t="s">
        <v>495</v>
      </c>
      <c r="G41" s="7"/>
      <c r="H41" s="7"/>
      <c r="I41" s="7"/>
    </row>
    <row r="42" spans="1:9" x14ac:dyDescent="0.3">
      <c r="A42" s="6" t="s">
        <v>341</v>
      </c>
      <c r="B42" s="6" t="s">
        <v>258</v>
      </c>
      <c r="C42" s="6" t="s">
        <v>498</v>
      </c>
      <c r="D42" s="6" t="s">
        <v>493</v>
      </c>
      <c r="E42" s="6" t="s">
        <v>494</v>
      </c>
      <c r="F42" s="6" t="s">
        <v>495</v>
      </c>
      <c r="G42" s="7"/>
      <c r="H42" s="7"/>
      <c r="I42" s="7" t="s">
        <v>500</v>
      </c>
    </row>
    <row r="43" spans="1:9" x14ac:dyDescent="0.3">
      <c r="A43" s="6" t="s">
        <v>341</v>
      </c>
      <c r="B43" s="6" t="s">
        <v>258</v>
      </c>
      <c r="C43" s="6" t="s">
        <v>492</v>
      </c>
      <c r="D43" s="6" t="s">
        <v>493</v>
      </c>
      <c r="E43" s="6" t="s">
        <v>494</v>
      </c>
      <c r="F43" s="6" t="s">
        <v>495</v>
      </c>
      <c r="G43" s="7"/>
      <c r="H43" s="7"/>
      <c r="I43" s="7"/>
    </row>
    <row r="44" spans="1:9" x14ac:dyDescent="0.3">
      <c r="A44" s="6" t="s">
        <v>341</v>
      </c>
      <c r="B44" s="6" t="s">
        <v>258</v>
      </c>
      <c r="C44" s="6" t="s">
        <v>499</v>
      </c>
      <c r="D44" s="6" t="s">
        <v>493</v>
      </c>
      <c r="E44" s="6" t="s">
        <v>494</v>
      </c>
      <c r="F44" s="6" t="s">
        <v>495</v>
      </c>
      <c r="G44" s="7"/>
      <c r="H44" s="7"/>
      <c r="I44" s="7"/>
    </row>
    <row r="45" spans="1:9" x14ac:dyDescent="0.3">
      <c r="A45" s="6" t="s">
        <v>344</v>
      </c>
      <c r="B45" s="6" t="s">
        <v>223</v>
      </c>
      <c r="C45" s="6" t="s">
        <v>498</v>
      </c>
      <c r="D45" s="6" t="s">
        <v>493</v>
      </c>
      <c r="E45" s="6" t="s">
        <v>494</v>
      </c>
      <c r="F45" s="6" t="s">
        <v>495</v>
      </c>
      <c r="G45" s="7"/>
      <c r="H45" s="7"/>
      <c r="I45" s="7"/>
    </row>
    <row r="46" spans="1:9" x14ac:dyDescent="0.3">
      <c r="A46" s="6" t="s">
        <v>344</v>
      </c>
      <c r="B46" s="6" t="s">
        <v>223</v>
      </c>
      <c r="C46" s="6" t="s">
        <v>492</v>
      </c>
      <c r="D46" s="6" t="s">
        <v>493</v>
      </c>
      <c r="E46" s="6" t="s">
        <v>494</v>
      </c>
      <c r="F46" s="6" t="s">
        <v>495</v>
      </c>
      <c r="G46" s="7"/>
      <c r="H46" s="7"/>
      <c r="I46" s="7"/>
    </row>
    <row r="47" spans="1:9" x14ac:dyDescent="0.3">
      <c r="A47" s="6" t="s">
        <v>344</v>
      </c>
      <c r="B47" s="6" t="s">
        <v>223</v>
      </c>
      <c r="C47" s="6" t="s">
        <v>499</v>
      </c>
      <c r="D47" s="6" t="s">
        <v>493</v>
      </c>
      <c r="E47" s="6" t="s">
        <v>494</v>
      </c>
      <c r="F47" s="6" t="s">
        <v>495</v>
      </c>
      <c r="G47" s="7"/>
      <c r="H47" s="7"/>
      <c r="I47" s="7"/>
    </row>
    <row r="48" spans="1:9" x14ac:dyDescent="0.3">
      <c r="A48" s="6" t="s">
        <v>353</v>
      </c>
      <c r="B48" s="6" t="s">
        <v>256</v>
      </c>
      <c r="C48" s="6" t="s">
        <v>498</v>
      </c>
      <c r="D48" s="6" t="s">
        <v>493</v>
      </c>
      <c r="E48" s="6" t="s">
        <v>494</v>
      </c>
      <c r="F48" s="6" t="s">
        <v>495</v>
      </c>
      <c r="G48" s="7">
        <v>40</v>
      </c>
      <c r="H48" s="7" t="s">
        <v>501</v>
      </c>
      <c r="I48" s="7" t="s">
        <v>502</v>
      </c>
    </row>
    <row r="49" spans="1:9" x14ac:dyDescent="0.3">
      <c r="A49" s="6" t="s">
        <v>353</v>
      </c>
      <c r="B49" s="6" t="s">
        <v>256</v>
      </c>
      <c r="C49" s="6" t="s">
        <v>492</v>
      </c>
      <c r="D49" s="6" t="s">
        <v>493</v>
      </c>
      <c r="E49" s="6" t="s">
        <v>494</v>
      </c>
      <c r="F49" s="6" t="s">
        <v>495</v>
      </c>
      <c r="G49" s="7">
        <v>50</v>
      </c>
      <c r="H49" s="7" t="s">
        <v>501</v>
      </c>
      <c r="I49" s="7" t="s">
        <v>502</v>
      </c>
    </row>
    <row r="50" spans="1:9" x14ac:dyDescent="0.3">
      <c r="A50" s="6" t="s">
        <v>353</v>
      </c>
      <c r="B50" s="6" t="s">
        <v>256</v>
      </c>
      <c r="C50" s="6" t="s">
        <v>499</v>
      </c>
      <c r="D50" s="6" t="s">
        <v>493</v>
      </c>
      <c r="E50" s="6" t="s">
        <v>494</v>
      </c>
      <c r="F50" s="6" t="s">
        <v>495</v>
      </c>
      <c r="G50" s="7"/>
      <c r="H50" s="7"/>
      <c r="I50" s="7"/>
    </row>
    <row r="51" spans="1:9" x14ac:dyDescent="0.3">
      <c r="A51" s="6" t="s">
        <v>357</v>
      </c>
      <c r="B51" s="6" t="s">
        <v>243</v>
      </c>
      <c r="C51" s="6" t="s">
        <v>498</v>
      </c>
      <c r="D51" s="6" t="s">
        <v>493</v>
      </c>
      <c r="E51" s="6" t="s">
        <v>494</v>
      </c>
      <c r="F51" s="6" t="s">
        <v>495</v>
      </c>
      <c r="G51" s="7">
        <v>40</v>
      </c>
      <c r="H51" s="7" t="s">
        <v>501</v>
      </c>
      <c r="I51" s="7" t="s">
        <v>503</v>
      </c>
    </row>
    <row r="52" spans="1:9" x14ac:dyDescent="0.3">
      <c r="A52" s="6" t="s">
        <v>357</v>
      </c>
      <c r="B52" s="6" t="s">
        <v>243</v>
      </c>
      <c r="C52" s="6" t="s">
        <v>492</v>
      </c>
      <c r="D52" s="6" t="s">
        <v>493</v>
      </c>
      <c r="E52" s="6" t="s">
        <v>494</v>
      </c>
      <c r="F52" s="6" t="s">
        <v>495</v>
      </c>
      <c r="G52" s="7">
        <v>50</v>
      </c>
      <c r="H52" s="7" t="s">
        <v>501</v>
      </c>
      <c r="I52" s="7" t="s">
        <v>503</v>
      </c>
    </row>
    <row r="53" spans="1:9" x14ac:dyDescent="0.3">
      <c r="A53" s="6" t="s">
        <v>357</v>
      </c>
      <c r="B53" s="6" t="s">
        <v>243</v>
      </c>
      <c r="C53" s="6" t="s">
        <v>499</v>
      </c>
      <c r="D53" s="6" t="s">
        <v>493</v>
      </c>
      <c r="E53" s="6" t="s">
        <v>494</v>
      </c>
      <c r="F53" s="6" t="s">
        <v>495</v>
      </c>
      <c r="G53" s="7"/>
      <c r="H53" s="7"/>
      <c r="I53" s="7"/>
    </row>
    <row r="54" spans="1:9" x14ac:dyDescent="0.3">
      <c r="A54" s="6" t="s">
        <v>360</v>
      </c>
      <c r="B54" s="6" t="s">
        <v>151</v>
      </c>
      <c r="C54" s="6" t="s">
        <v>498</v>
      </c>
      <c r="D54" s="6" t="s">
        <v>493</v>
      </c>
      <c r="E54" s="6" t="s">
        <v>494</v>
      </c>
      <c r="F54" s="6" t="s">
        <v>495</v>
      </c>
      <c r="G54" s="7"/>
      <c r="H54" s="7"/>
      <c r="I54" s="7"/>
    </row>
    <row r="55" spans="1:9" x14ac:dyDescent="0.3">
      <c r="A55" s="6" t="s">
        <v>360</v>
      </c>
      <c r="B55" s="6" t="s">
        <v>151</v>
      </c>
      <c r="C55" s="6" t="s">
        <v>492</v>
      </c>
      <c r="D55" s="6" t="s">
        <v>493</v>
      </c>
      <c r="E55" s="6" t="s">
        <v>494</v>
      </c>
      <c r="F55" s="6" t="s">
        <v>495</v>
      </c>
      <c r="G55" s="7"/>
      <c r="H55" s="7"/>
      <c r="I55" s="7"/>
    </row>
    <row r="56" spans="1:9" x14ac:dyDescent="0.3">
      <c r="A56" s="6" t="s">
        <v>360</v>
      </c>
      <c r="B56" s="6" t="s">
        <v>151</v>
      </c>
      <c r="C56" s="6" t="s">
        <v>499</v>
      </c>
      <c r="D56" s="6" t="s">
        <v>493</v>
      </c>
      <c r="E56" s="6" t="s">
        <v>494</v>
      </c>
      <c r="F56" s="6" t="s">
        <v>495</v>
      </c>
      <c r="G56" s="7"/>
      <c r="H56" s="7"/>
      <c r="I56" s="7"/>
    </row>
    <row r="57" spans="1:9" x14ac:dyDescent="0.3">
      <c r="A57" s="6" t="s">
        <v>363</v>
      </c>
      <c r="B57" s="6" t="s">
        <v>168</v>
      </c>
      <c r="C57" s="6" t="s">
        <v>498</v>
      </c>
      <c r="D57" s="6" t="s">
        <v>493</v>
      </c>
      <c r="E57" s="6" t="s">
        <v>494</v>
      </c>
      <c r="F57" s="6" t="s">
        <v>495</v>
      </c>
      <c r="G57" s="7"/>
      <c r="H57" s="7"/>
      <c r="I57" s="7" t="s">
        <v>504</v>
      </c>
    </row>
    <row r="58" spans="1:9" x14ac:dyDescent="0.3">
      <c r="A58" s="6" t="s">
        <v>363</v>
      </c>
      <c r="B58" s="6" t="s">
        <v>168</v>
      </c>
      <c r="C58" s="6" t="s">
        <v>492</v>
      </c>
      <c r="D58" s="6" t="s">
        <v>493</v>
      </c>
      <c r="E58" s="6" t="s">
        <v>494</v>
      </c>
      <c r="F58" s="6" t="s">
        <v>495</v>
      </c>
      <c r="G58" s="7"/>
      <c r="H58" s="7"/>
      <c r="I58" s="7"/>
    </row>
    <row r="59" spans="1:9" x14ac:dyDescent="0.3">
      <c r="A59" s="6" t="s">
        <v>363</v>
      </c>
      <c r="B59" s="6" t="s">
        <v>168</v>
      </c>
      <c r="C59" s="6" t="s">
        <v>499</v>
      </c>
      <c r="D59" s="6" t="s">
        <v>493</v>
      </c>
      <c r="E59" s="6" t="s">
        <v>494</v>
      </c>
      <c r="F59" s="6" t="s">
        <v>495</v>
      </c>
      <c r="G59" s="7"/>
      <c r="H59" s="7"/>
      <c r="I59" s="7"/>
    </row>
    <row r="60" spans="1:9" x14ac:dyDescent="0.3">
      <c r="A60" s="6" t="s">
        <v>366</v>
      </c>
      <c r="B60" s="6" t="s">
        <v>253</v>
      </c>
      <c r="C60" s="6" t="s">
        <v>498</v>
      </c>
      <c r="D60" s="6" t="s">
        <v>493</v>
      </c>
      <c r="E60" s="6" t="s">
        <v>494</v>
      </c>
      <c r="F60" s="6" t="s">
        <v>495</v>
      </c>
      <c r="G60" s="7"/>
      <c r="H60" s="7"/>
      <c r="I60" s="7"/>
    </row>
    <row r="61" spans="1:9" x14ac:dyDescent="0.3">
      <c r="A61" s="6" t="s">
        <v>366</v>
      </c>
      <c r="B61" s="6" t="s">
        <v>253</v>
      </c>
      <c r="C61" s="6" t="s">
        <v>492</v>
      </c>
      <c r="D61" s="6" t="s">
        <v>493</v>
      </c>
      <c r="E61" s="6" t="s">
        <v>494</v>
      </c>
      <c r="F61" s="6" t="s">
        <v>495</v>
      </c>
      <c r="G61" s="7"/>
      <c r="H61" s="7"/>
      <c r="I61" s="7"/>
    </row>
    <row r="62" spans="1:9" x14ac:dyDescent="0.3">
      <c r="A62" s="6" t="s">
        <v>366</v>
      </c>
      <c r="B62" s="6" t="s">
        <v>253</v>
      </c>
      <c r="C62" s="6" t="s">
        <v>499</v>
      </c>
      <c r="D62" s="6" t="s">
        <v>493</v>
      </c>
      <c r="E62" s="6" t="s">
        <v>494</v>
      </c>
      <c r="F62" s="6" t="s">
        <v>495</v>
      </c>
      <c r="G62" s="7"/>
      <c r="H62" s="7"/>
      <c r="I62" s="7"/>
    </row>
    <row r="63" spans="1:9" x14ac:dyDescent="0.3">
      <c r="A63" s="6" t="s">
        <v>374</v>
      </c>
      <c r="B63" s="6" t="s">
        <v>159</v>
      </c>
      <c r="C63" s="6" t="s">
        <v>498</v>
      </c>
      <c r="D63" s="6" t="s">
        <v>493</v>
      </c>
      <c r="E63" s="6" t="s">
        <v>494</v>
      </c>
      <c r="F63" s="6" t="s">
        <v>495</v>
      </c>
      <c r="G63" s="7"/>
      <c r="H63" s="7"/>
      <c r="I63" s="7" t="s">
        <v>500</v>
      </c>
    </row>
    <row r="64" spans="1:9" x14ac:dyDescent="0.3">
      <c r="A64" s="6" t="s">
        <v>374</v>
      </c>
      <c r="B64" s="6" t="s">
        <v>159</v>
      </c>
      <c r="C64" s="6" t="s">
        <v>492</v>
      </c>
      <c r="D64" s="6" t="s">
        <v>493</v>
      </c>
      <c r="E64" s="6" t="s">
        <v>494</v>
      </c>
      <c r="F64" s="6" t="s">
        <v>495</v>
      </c>
      <c r="G64" s="7"/>
      <c r="H64" s="7"/>
      <c r="I64" s="7"/>
    </row>
    <row r="65" spans="1:9" x14ac:dyDescent="0.3">
      <c r="A65" s="6" t="s">
        <v>374</v>
      </c>
      <c r="B65" s="6" t="s">
        <v>159</v>
      </c>
      <c r="C65" s="6" t="s">
        <v>499</v>
      </c>
      <c r="D65" s="6" t="s">
        <v>493</v>
      </c>
      <c r="E65" s="6" t="s">
        <v>494</v>
      </c>
      <c r="F65" s="6" t="s">
        <v>495</v>
      </c>
      <c r="G65" s="7"/>
      <c r="H65" s="7"/>
      <c r="I65" s="7"/>
    </row>
    <row r="66" spans="1:9" x14ac:dyDescent="0.3">
      <c r="A66" s="6" t="s">
        <v>377</v>
      </c>
      <c r="B66" s="6" t="s">
        <v>207</v>
      </c>
      <c r="C66" s="6" t="s">
        <v>498</v>
      </c>
      <c r="D66" s="6" t="s">
        <v>493</v>
      </c>
      <c r="E66" s="6" t="s">
        <v>494</v>
      </c>
      <c r="F66" s="6" t="s">
        <v>495</v>
      </c>
      <c r="G66" s="7"/>
      <c r="H66" s="7"/>
      <c r="I66" s="7"/>
    </row>
    <row r="67" spans="1:9" x14ac:dyDescent="0.3">
      <c r="A67" s="6" t="s">
        <v>377</v>
      </c>
      <c r="B67" s="6" t="s">
        <v>207</v>
      </c>
      <c r="C67" s="6" t="s">
        <v>492</v>
      </c>
      <c r="D67" s="6" t="s">
        <v>493</v>
      </c>
      <c r="E67" s="6" t="s">
        <v>494</v>
      </c>
      <c r="F67" s="6" t="s">
        <v>495</v>
      </c>
      <c r="G67" s="7"/>
      <c r="H67" s="7"/>
      <c r="I67" s="7"/>
    </row>
    <row r="68" spans="1:9" x14ac:dyDescent="0.3">
      <c r="A68" s="6" t="s">
        <v>377</v>
      </c>
      <c r="B68" s="6" t="s">
        <v>207</v>
      </c>
      <c r="C68" s="6" t="s">
        <v>499</v>
      </c>
      <c r="D68" s="6" t="s">
        <v>493</v>
      </c>
      <c r="E68" s="6" t="s">
        <v>494</v>
      </c>
      <c r="F68" s="6" t="s">
        <v>495</v>
      </c>
      <c r="G68" s="7"/>
      <c r="H68" s="7"/>
      <c r="I68" s="7"/>
    </row>
    <row r="69" spans="1:9" x14ac:dyDescent="0.3">
      <c r="A69" s="6" t="s">
        <v>382</v>
      </c>
      <c r="B69" s="6" t="s">
        <v>199</v>
      </c>
      <c r="C69" s="6" t="s">
        <v>498</v>
      </c>
      <c r="D69" s="6" t="s">
        <v>493</v>
      </c>
      <c r="E69" s="6" t="s">
        <v>494</v>
      </c>
      <c r="F69" s="6" t="s">
        <v>495</v>
      </c>
      <c r="G69" s="7">
        <v>40</v>
      </c>
      <c r="H69" s="7" t="s">
        <v>505</v>
      </c>
      <c r="I69" s="7" t="s">
        <v>506</v>
      </c>
    </row>
    <row r="70" spans="1:9" x14ac:dyDescent="0.3">
      <c r="A70" s="6" t="s">
        <v>382</v>
      </c>
      <c r="B70" s="6" t="s">
        <v>199</v>
      </c>
      <c r="C70" s="6" t="s">
        <v>492</v>
      </c>
      <c r="D70" s="6" t="s">
        <v>493</v>
      </c>
      <c r="E70" s="6" t="s">
        <v>494</v>
      </c>
      <c r="F70" s="6" t="s">
        <v>495</v>
      </c>
      <c r="G70" s="7">
        <v>45</v>
      </c>
      <c r="H70" s="7" t="s">
        <v>505</v>
      </c>
      <c r="I70" s="7" t="s">
        <v>506</v>
      </c>
    </row>
    <row r="71" spans="1:9" x14ac:dyDescent="0.3">
      <c r="A71" s="6" t="s">
        <v>382</v>
      </c>
      <c r="B71" s="6" t="s">
        <v>199</v>
      </c>
      <c r="C71" s="6" t="s">
        <v>499</v>
      </c>
      <c r="D71" s="6" t="s">
        <v>493</v>
      </c>
      <c r="E71" s="6" t="s">
        <v>494</v>
      </c>
      <c r="F71" s="6" t="s">
        <v>495</v>
      </c>
      <c r="G71" s="7">
        <v>29</v>
      </c>
      <c r="H71" s="7" t="s">
        <v>505</v>
      </c>
      <c r="I71" s="7" t="s">
        <v>506</v>
      </c>
    </row>
    <row r="72" spans="1:9" x14ac:dyDescent="0.3">
      <c r="A72" s="6" t="s">
        <v>385</v>
      </c>
      <c r="B72" s="6" t="s">
        <v>203</v>
      </c>
      <c r="C72" s="6" t="s">
        <v>498</v>
      </c>
      <c r="D72" s="6" t="s">
        <v>493</v>
      </c>
      <c r="E72" s="6" t="s">
        <v>494</v>
      </c>
      <c r="F72" s="6" t="s">
        <v>495</v>
      </c>
      <c r="G72" s="7">
        <v>52</v>
      </c>
      <c r="H72" s="7" t="s">
        <v>505</v>
      </c>
      <c r="I72" s="7" t="s">
        <v>506</v>
      </c>
    </row>
    <row r="73" spans="1:9" x14ac:dyDescent="0.3">
      <c r="A73" s="6" t="s">
        <v>385</v>
      </c>
      <c r="B73" s="6" t="s">
        <v>203</v>
      </c>
      <c r="C73" s="6" t="s">
        <v>492</v>
      </c>
      <c r="D73" s="6" t="s">
        <v>493</v>
      </c>
      <c r="E73" s="6" t="s">
        <v>494</v>
      </c>
      <c r="F73" s="6" t="s">
        <v>495</v>
      </c>
      <c r="G73" s="7">
        <v>69</v>
      </c>
      <c r="H73" s="7" t="s">
        <v>505</v>
      </c>
      <c r="I73" s="7" t="s">
        <v>506</v>
      </c>
    </row>
    <row r="74" spans="1:9" x14ac:dyDescent="0.3">
      <c r="A74" s="6" t="s">
        <v>385</v>
      </c>
      <c r="B74" s="6" t="s">
        <v>203</v>
      </c>
      <c r="C74" s="6" t="s">
        <v>499</v>
      </c>
      <c r="D74" s="6" t="s">
        <v>493</v>
      </c>
      <c r="E74" s="6" t="s">
        <v>494</v>
      </c>
      <c r="F74" s="6" t="s">
        <v>495</v>
      </c>
      <c r="G74" s="7">
        <v>38</v>
      </c>
      <c r="H74" s="7" t="s">
        <v>505</v>
      </c>
      <c r="I74" s="7" t="s">
        <v>506</v>
      </c>
    </row>
    <row r="75" spans="1:9" x14ac:dyDescent="0.3">
      <c r="A75" s="6" t="s">
        <v>388</v>
      </c>
      <c r="B75" s="6" t="s">
        <v>209</v>
      </c>
      <c r="C75" s="6" t="s">
        <v>498</v>
      </c>
      <c r="D75" s="6" t="s">
        <v>493</v>
      </c>
      <c r="E75" s="6" t="s">
        <v>494</v>
      </c>
      <c r="F75" s="6" t="s">
        <v>495</v>
      </c>
      <c r="G75" s="7"/>
      <c r="H75" s="7"/>
      <c r="I75" s="7"/>
    </row>
    <row r="76" spans="1:9" x14ac:dyDescent="0.3">
      <c r="A76" s="6" t="s">
        <v>388</v>
      </c>
      <c r="B76" s="6" t="s">
        <v>209</v>
      </c>
      <c r="C76" s="6" t="s">
        <v>492</v>
      </c>
      <c r="D76" s="6" t="s">
        <v>493</v>
      </c>
      <c r="E76" s="6" t="s">
        <v>494</v>
      </c>
      <c r="F76" s="6" t="s">
        <v>495</v>
      </c>
      <c r="G76" s="7"/>
      <c r="H76" s="7"/>
      <c r="I76" s="7"/>
    </row>
    <row r="77" spans="1:9" x14ac:dyDescent="0.3">
      <c r="A77" s="6" t="s">
        <v>388</v>
      </c>
      <c r="B77" s="6" t="s">
        <v>209</v>
      </c>
      <c r="C77" s="6" t="s">
        <v>499</v>
      </c>
      <c r="D77" s="6" t="s">
        <v>493</v>
      </c>
      <c r="E77" s="6" t="s">
        <v>494</v>
      </c>
      <c r="F77" s="6" t="s">
        <v>495</v>
      </c>
      <c r="G77" s="7"/>
      <c r="H77" s="7"/>
      <c r="I77" s="7"/>
    </row>
    <row r="78" spans="1:9" x14ac:dyDescent="0.3">
      <c r="A78" s="6" t="s">
        <v>391</v>
      </c>
      <c r="B78" s="6" t="s">
        <v>188</v>
      </c>
      <c r="C78" s="6" t="s">
        <v>498</v>
      </c>
      <c r="D78" s="6" t="s">
        <v>493</v>
      </c>
      <c r="E78" s="6" t="s">
        <v>494</v>
      </c>
      <c r="F78" s="6" t="s">
        <v>495</v>
      </c>
      <c r="G78" s="7"/>
      <c r="H78" s="7"/>
      <c r="I78" s="7" t="s">
        <v>500</v>
      </c>
    </row>
    <row r="79" spans="1:9" x14ac:dyDescent="0.3">
      <c r="A79" s="6" t="s">
        <v>391</v>
      </c>
      <c r="B79" s="6" t="s">
        <v>188</v>
      </c>
      <c r="C79" s="6" t="s">
        <v>492</v>
      </c>
      <c r="D79" s="6" t="s">
        <v>493</v>
      </c>
      <c r="E79" s="6" t="s">
        <v>494</v>
      </c>
      <c r="F79" s="6" t="s">
        <v>495</v>
      </c>
      <c r="G79" s="7"/>
      <c r="H79" s="7"/>
      <c r="I79" s="7"/>
    </row>
    <row r="80" spans="1:9" x14ac:dyDescent="0.3">
      <c r="A80" s="6" t="s">
        <v>391</v>
      </c>
      <c r="B80" s="6" t="s">
        <v>188</v>
      </c>
      <c r="C80" s="6" t="s">
        <v>499</v>
      </c>
      <c r="D80" s="6" t="s">
        <v>493</v>
      </c>
      <c r="E80" s="6" t="s">
        <v>494</v>
      </c>
      <c r="F80" s="6" t="s">
        <v>495</v>
      </c>
      <c r="G80" s="7"/>
      <c r="H80" s="7"/>
      <c r="I80" s="7"/>
    </row>
    <row r="81" spans="1:9" x14ac:dyDescent="0.3">
      <c r="A81" s="6" t="s">
        <v>394</v>
      </c>
      <c r="B81" s="6" t="s">
        <v>194</v>
      </c>
      <c r="C81" s="6" t="s">
        <v>498</v>
      </c>
      <c r="D81" s="6" t="s">
        <v>493</v>
      </c>
      <c r="E81" s="6" t="s">
        <v>494</v>
      </c>
      <c r="F81" s="6" t="s">
        <v>495</v>
      </c>
      <c r="G81" s="7"/>
      <c r="H81" s="7"/>
      <c r="I81" s="7" t="s">
        <v>500</v>
      </c>
    </row>
    <row r="82" spans="1:9" x14ac:dyDescent="0.3">
      <c r="A82" s="6" t="s">
        <v>394</v>
      </c>
      <c r="B82" s="6" t="s">
        <v>194</v>
      </c>
      <c r="C82" s="6" t="s">
        <v>492</v>
      </c>
      <c r="D82" s="6" t="s">
        <v>493</v>
      </c>
      <c r="E82" s="6" t="s">
        <v>494</v>
      </c>
      <c r="F82" s="6" t="s">
        <v>495</v>
      </c>
      <c r="G82" s="7"/>
      <c r="H82" s="7"/>
      <c r="I82" s="7"/>
    </row>
    <row r="83" spans="1:9" x14ac:dyDescent="0.3">
      <c r="A83" s="6" t="s">
        <v>394</v>
      </c>
      <c r="B83" s="6" t="s">
        <v>194</v>
      </c>
      <c r="C83" s="6" t="s">
        <v>499</v>
      </c>
      <c r="D83" s="6" t="s">
        <v>493</v>
      </c>
      <c r="E83" s="6" t="s">
        <v>494</v>
      </c>
      <c r="F83" s="6" t="s">
        <v>495</v>
      </c>
      <c r="G83" s="7"/>
      <c r="H83" s="7"/>
      <c r="I83" s="7"/>
    </row>
    <row r="84" spans="1:9" x14ac:dyDescent="0.3">
      <c r="A84" s="6" t="s">
        <v>397</v>
      </c>
      <c r="B84" s="6" t="s">
        <v>201</v>
      </c>
      <c r="C84" s="6" t="s">
        <v>498</v>
      </c>
      <c r="D84" s="6" t="s">
        <v>493</v>
      </c>
      <c r="E84" s="6" t="s">
        <v>494</v>
      </c>
      <c r="F84" s="6" t="s">
        <v>495</v>
      </c>
      <c r="G84" s="7"/>
      <c r="H84" s="7"/>
      <c r="I84" s="7"/>
    </row>
    <row r="85" spans="1:9" x14ac:dyDescent="0.3">
      <c r="A85" s="6" t="s">
        <v>397</v>
      </c>
      <c r="B85" s="6" t="s">
        <v>201</v>
      </c>
      <c r="C85" s="6" t="s">
        <v>492</v>
      </c>
      <c r="D85" s="6" t="s">
        <v>493</v>
      </c>
      <c r="E85" s="6" t="s">
        <v>494</v>
      </c>
      <c r="F85" s="6" t="s">
        <v>495</v>
      </c>
      <c r="G85" s="7"/>
      <c r="H85" s="7"/>
      <c r="I85" s="7"/>
    </row>
    <row r="86" spans="1:9" x14ac:dyDescent="0.3">
      <c r="A86" s="6" t="s">
        <v>397</v>
      </c>
      <c r="B86" s="6" t="s">
        <v>201</v>
      </c>
      <c r="C86" s="6" t="s">
        <v>499</v>
      </c>
      <c r="D86" s="6" t="s">
        <v>493</v>
      </c>
      <c r="E86" s="6" t="s">
        <v>494</v>
      </c>
      <c r="F86" s="6" t="s">
        <v>495</v>
      </c>
      <c r="G86" s="7"/>
      <c r="H86" s="7"/>
      <c r="I86" s="7"/>
    </row>
    <row r="87" spans="1:9" x14ac:dyDescent="0.3">
      <c r="A87" s="6" t="s">
        <v>400</v>
      </c>
      <c r="B87" s="6" t="s">
        <v>197</v>
      </c>
      <c r="C87" s="6" t="s">
        <v>498</v>
      </c>
      <c r="D87" s="6" t="s">
        <v>493</v>
      </c>
      <c r="E87" s="6" t="s">
        <v>494</v>
      </c>
      <c r="F87" s="6" t="s">
        <v>495</v>
      </c>
      <c r="G87" s="7"/>
      <c r="H87" s="7"/>
      <c r="I87" s="7" t="s">
        <v>500</v>
      </c>
    </row>
    <row r="88" spans="1:9" x14ac:dyDescent="0.3">
      <c r="A88" s="6" t="s">
        <v>400</v>
      </c>
      <c r="B88" s="6" t="s">
        <v>197</v>
      </c>
      <c r="C88" s="6" t="s">
        <v>492</v>
      </c>
      <c r="D88" s="6" t="s">
        <v>493</v>
      </c>
      <c r="E88" s="6" t="s">
        <v>494</v>
      </c>
      <c r="F88" s="6" t="s">
        <v>495</v>
      </c>
      <c r="G88" s="7"/>
      <c r="H88" s="7"/>
      <c r="I88" s="7"/>
    </row>
    <row r="89" spans="1:9" x14ac:dyDescent="0.3">
      <c r="A89" s="6" t="s">
        <v>400</v>
      </c>
      <c r="B89" s="6" t="s">
        <v>197</v>
      </c>
      <c r="C89" s="6" t="s">
        <v>499</v>
      </c>
      <c r="D89" s="6" t="s">
        <v>493</v>
      </c>
      <c r="E89" s="6" t="s">
        <v>494</v>
      </c>
      <c r="F89" s="6" t="s">
        <v>495</v>
      </c>
      <c r="G89" s="7"/>
      <c r="H89" s="7"/>
      <c r="I89" s="7"/>
    </row>
    <row r="90" spans="1:9" x14ac:dyDescent="0.3">
      <c r="A90" s="6" t="s">
        <v>403</v>
      </c>
      <c r="B90" s="6" t="s">
        <v>205</v>
      </c>
      <c r="C90" s="6" t="s">
        <v>498</v>
      </c>
      <c r="D90" s="6" t="s">
        <v>493</v>
      </c>
      <c r="E90" s="6" t="s">
        <v>494</v>
      </c>
      <c r="F90" s="6" t="s">
        <v>495</v>
      </c>
      <c r="G90" s="7">
        <v>44</v>
      </c>
      <c r="H90" s="7" t="s">
        <v>505</v>
      </c>
      <c r="I90" s="7" t="s">
        <v>506</v>
      </c>
    </row>
    <row r="91" spans="1:9" x14ac:dyDescent="0.3">
      <c r="A91" s="6" t="s">
        <v>403</v>
      </c>
      <c r="B91" s="6" t="s">
        <v>205</v>
      </c>
      <c r="C91" s="6" t="s">
        <v>492</v>
      </c>
      <c r="D91" s="6" t="s">
        <v>493</v>
      </c>
      <c r="E91" s="6" t="s">
        <v>494</v>
      </c>
      <c r="F91" s="6" t="s">
        <v>495</v>
      </c>
      <c r="G91" s="7">
        <v>46</v>
      </c>
      <c r="H91" s="7" t="s">
        <v>505</v>
      </c>
      <c r="I91" s="7" t="s">
        <v>506</v>
      </c>
    </row>
    <row r="92" spans="1:9" x14ac:dyDescent="0.3">
      <c r="A92" s="6" t="s">
        <v>403</v>
      </c>
      <c r="B92" s="6" t="s">
        <v>205</v>
      </c>
      <c r="C92" s="6" t="s">
        <v>499</v>
      </c>
      <c r="D92" s="6" t="s">
        <v>493</v>
      </c>
      <c r="E92" s="6" t="s">
        <v>494</v>
      </c>
      <c r="F92" s="6" t="s">
        <v>495</v>
      </c>
      <c r="G92" s="7">
        <v>35</v>
      </c>
      <c r="H92" s="7" t="s">
        <v>505</v>
      </c>
      <c r="I92" s="7" t="s">
        <v>506</v>
      </c>
    </row>
    <row r="93" spans="1:9" x14ac:dyDescent="0.3">
      <c r="A93" s="6" t="s">
        <v>406</v>
      </c>
      <c r="B93" s="6" t="s">
        <v>191</v>
      </c>
      <c r="C93" s="6" t="s">
        <v>498</v>
      </c>
      <c r="D93" s="6" t="s">
        <v>493</v>
      </c>
      <c r="E93" s="6" t="s">
        <v>494</v>
      </c>
      <c r="F93" s="6" t="s">
        <v>495</v>
      </c>
      <c r="G93" s="7"/>
      <c r="H93" s="7"/>
      <c r="I93" s="7" t="s">
        <v>500</v>
      </c>
    </row>
    <row r="94" spans="1:9" x14ac:dyDescent="0.3">
      <c r="A94" s="6" t="s">
        <v>406</v>
      </c>
      <c r="B94" s="6" t="s">
        <v>191</v>
      </c>
      <c r="C94" s="6" t="s">
        <v>492</v>
      </c>
      <c r="D94" s="6" t="s">
        <v>493</v>
      </c>
      <c r="E94" s="6" t="s">
        <v>494</v>
      </c>
      <c r="F94" s="6" t="s">
        <v>495</v>
      </c>
      <c r="G94" s="7"/>
      <c r="H94" s="7"/>
      <c r="I94" s="7"/>
    </row>
    <row r="95" spans="1:9" x14ac:dyDescent="0.3">
      <c r="A95" s="6" t="s">
        <v>406</v>
      </c>
      <c r="B95" s="6" t="s">
        <v>191</v>
      </c>
      <c r="C95" s="6" t="s">
        <v>499</v>
      </c>
      <c r="D95" s="6" t="s">
        <v>493</v>
      </c>
      <c r="E95" s="6" t="s">
        <v>494</v>
      </c>
      <c r="F95" s="6" t="s">
        <v>495</v>
      </c>
      <c r="G95" s="7"/>
      <c r="H95" s="7"/>
      <c r="I95" s="7"/>
    </row>
    <row r="96" spans="1:9" x14ac:dyDescent="0.3">
      <c r="A96" s="6" t="s">
        <v>422</v>
      </c>
      <c r="B96" s="6" t="s">
        <v>104</v>
      </c>
      <c r="C96" s="6" t="s">
        <v>498</v>
      </c>
      <c r="D96" s="6" t="s">
        <v>493</v>
      </c>
      <c r="E96" s="6" t="s">
        <v>494</v>
      </c>
      <c r="F96" s="6" t="s">
        <v>495</v>
      </c>
      <c r="G96" s="7"/>
      <c r="H96" s="7"/>
      <c r="I96" s="7"/>
    </row>
    <row r="97" spans="1:9" x14ac:dyDescent="0.3">
      <c r="A97" s="6" t="s">
        <v>422</v>
      </c>
      <c r="B97" s="6" t="s">
        <v>104</v>
      </c>
      <c r="C97" s="6" t="s">
        <v>492</v>
      </c>
      <c r="D97" s="6" t="s">
        <v>493</v>
      </c>
      <c r="E97" s="6" t="s">
        <v>494</v>
      </c>
      <c r="F97" s="6" t="s">
        <v>495</v>
      </c>
      <c r="G97" s="7"/>
      <c r="H97" s="7"/>
      <c r="I97" s="7"/>
    </row>
    <row r="98" spans="1:9" x14ac:dyDescent="0.3">
      <c r="A98" s="6" t="s">
        <v>422</v>
      </c>
      <c r="B98" s="6" t="s">
        <v>104</v>
      </c>
      <c r="C98" s="6" t="s">
        <v>499</v>
      </c>
      <c r="D98" s="6" t="s">
        <v>493</v>
      </c>
      <c r="E98" s="6" t="s">
        <v>494</v>
      </c>
      <c r="F98" s="6" t="s">
        <v>495</v>
      </c>
      <c r="G98" s="7"/>
      <c r="H98" s="7"/>
      <c r="I98" s="7"/>
    </row>
    <row r="99" spans="1:9" x14ac:dyDescent="0.3">
      <c r="A99" s="6" t="s">
        <v>437</v>
      </c>
      <c r="B99" s="6" t="s">
        <v>57</v>
      </c>
      <c r="C99" s="6" t="s">
        <v>498</v>
      </c>
      <c r="D99" s="6" t="s">
        <v>493</v>
      </c>
      <c r="E99" s="6" t="s">
        <v>494</v>
      </c>
      <c r="F99" s="6" t="s">
        <v>495</v>
      </c>
      <c r="G99" s="7"/>
      <c r="H99" s="7"/>
      <c r="I99" s="7" t="s">
        <v>500</v>
      </c>
    </row>
    <row r="100" spans="1:9" x14ac:dyDescent="0.3">
      <c r="A100" s="6" t="s">
        <v>437</v>
      </c>
      <c r="B100" s="6" t="s">
        <v>57</v>
      </c>
      <c r="C100" s="6" t="s">
        <v>492</v>
      </c>
      <c r="D100" s="6" t="s">
        <v>493</v>
      </c>
      <c r="E100" s="6" t="s">
        <v>494</v>
      </c>
      <c r="F100" s="6" t="s">
        <v>495</v>
      </c>
      <c r="G100" s="7"/>
      <c r="H100" s="7"/>
      <c r="I100" s="7"/>
    </row>
    <row r="101" spans="1:9" x14ac:dyDescent="0.3">
      <c r="A101" s="6" t="s">
        <v>437</v>
      </c>
      <c r="B101" s="6" t="s">
        <v>57</v>
      </c>
      <c r="C101" s="6" t="s">
        <v>499</v>
      </c>
      <c r="D101" s="6" t="s">
        <v>493</v>
      </c>
      <c r="E101" s="6" t="s">
        <v>494</v>
      </c>
      <c r="F101" s="6" t="s">
        <v>495</v>
      </c>
      <c r="G101" s="7"/>
      <c r="H101" s="7"/>
      <c r="I101" s="7"/>
    </row>
    <row r="102" spans="1:9" x14ac:dyDescent="0.3">
      <c r="A102" s="6" t="s">
        <v>440</v>
      </c>
      <c r="B102" s="6" t="s">
        <v>55</v>
      </c>
      <c r="C102" s="6" t="s">
        <v>498</v>
      </c>
      <c r="D102" s="6" t="s">
        <v>493</v>
      </c>
      <c r="E102" s="6" t="s">
        <v>494</v>
      </c>
      <c r="F102" s="6" t="s">
        <v>495</v>
      </c>
      <c r="G102" s="7"/>
      <c r="H102" s="7"/>
      <c r="I102" s="7" t="s">
        <v>500</v>
      </c>
    </row>
    <row r="103" spans="1:9" x14ac:dyDescent="0.3">
      <c r="A103" s="6" t="s">
        <v>440</v>
      </c>
      <c r="B103" s="6" t="s">
        <v>55</v>
      </c>
      <c r="C103" s="6" t="s">
        <v>492</v>
      </c>
      <c r="D103" s="6" t="s">
        <v>493</v>
      </c>
      <c r="E103" s="6" t="s">
        <v>494</v>
      </c>
      <c r="F103" s="6" t="s">
        <v>495</v>
      </c>
      <c r="G103" s="7"/>
      <c r="H103" s="7"/>
      <c r="I103" s="7"/>
    </row>
    <row r="104" spans="1:9" x14ac:dyDescent="0.3">
      <c r="A104" s="6" t="s">
        <v>440</v>
      </c>
      <c r="B104" s="6" t="s">
        <v>55</v>
      </c>
      <c r="C104" s="6" t="s">
        <v>499</v>
      </c>
      <c r="D104" s="6" t="s">
        <v>493</v>
      </c>
      <c r="E104" s="6" t="s">
        <v>494</v>
      </c>
      <c r="F104" s="6" t="s">
        <v>495</v>
      </c>
      <c r="G104" s="7"/>
      <c r="H104" s="7"/>
      <c r="I104" s="7"/>
    </row>
    <row r="105" spans="1:9" x14ac:dyDescent="0.3">
      <c r="A105" s="6" t="s">
        <v>443</v>
      </c>
      <c r="B105" s="6" t="s">
        <v>50</v>
      </c>
      <c r="C105" s="6" t="s">
        <v>498</v>
      </c>
      <c r="D105" s="6" t="s">
        <v>493</v>
      </c>
      <c r="E105" s="6" t="s">
        <v>494</v>
      </c>
      <c r="F105" s="6" t="s">
        <v>495</v>
      </c>
      <c r="G105" s="7"/>
      <c r="H105" s="7"/>
      <c r="I105" s="7" t="s">
        <v>500</v>
      </c>
    </row>
    <row r="106" spans="1:9" x14ac:dyDescent="0.3">
      <c r="A106" s="6" t="s">
        <v>443</v>
      </c>
      <c r="B106" s="6" t="s">
        <v>50</v>
      </c>
      <c r="C106" s="6" t="s">
        <v>492</v>
      </c>
      <c r="D106" s="6" t="s">
        <v>493</v>
      </c>
      <c r="E106" s="6" t="s">
        <v>494</v>
      </c>
      <c r="F106" s="6" t="s">
        <v>495</v>
      </c>
      <c r="G106" s="7"/>
      <c r="H106" s="7"/>
      <c r="I106" s="7"/>
    </row>
    <row r="107" spans="1:9" x14ac:dyDescent="0.3">
      <c r="A107" s="6" t="s">
        <v>443</v>
      </c>
      <c r="B107" s="6" t="s">
        <v>50</v>
      </c>
      <c r="C107" s="6" t="s">
        <v>499</v>
      </c>
      <c r="D107" s="6" t="s">
        <v>493</v>
      </c>
      <c r="E107" s="6" t="s">
        <v>494</v>
      </c>
      <c r="F107" s="6" t="s">
        <v>495</v>
      </c>
      <c r="G107" s="7"/>
      <c r="H107" s="7"/>
      <c r="I107" s="7"/>
    </row>
    <row r="108" spans="1:9" x14ac:dyDescent="0.3">
      <c r="A108" s="6" t="s">
        <v>446</v>
      </c>
      <c r="B108" s="6" t="s">
        <v>184</v>
      </c>
      <c r="C108" s="6" t="s">
        <v>498</v>
      </c>
      <c r="D108" s="6" t="s">
        <v>493</v>
      </c>
      <c r="E108" s="6" t="s">
        <v>494</v>
      </c>
      <c r="F108" s="6" t="s">
        <v>495</v>
      </c>
      <c r="G108" s="7"/>
      <c r="H108" s="7"/>
      <c r="I108" s="7"/>
    </row>
    <row r="109" spans="1:9" x14ac:dyDescent="0.3">
      <c r="A109" s="6" t="s">
        <v>446</v>
      </c>
      <c r="B109" s="6" t="s">
        <v>184</v>
      </c>
      <c r="C109" s="6" t="s">
        <v>492</v>
      </c>
      <c r="D109" s="6" t="s">
        <v>493</v>
      </c>
      <c r="E109" s="6" t="s">
        <v>494</v>
      </c>
      <c r="F109" s="6" t="s">
        <v>495</v>
      </c>
      <c r="G109" s="7"/>
      <c r="H109" s="7"/>
      <c r="I109" s="7"/>
    </row>
    <row r="110" spans="1:9" x14ac:dyDescent="0.3">
      <c r="A110" s="6" t="s">
        <v>446</v>
      </c>
      <c r="B110" s="6" t="s">
        <v>184</v>
      </c>
      <c r="C110" s="6" t="s">
        <v>499</v>
      </c>
      <c r="D110" s="6" t="s">
        <v>493</v>
      </c>
      <c r="E110" s="6" t="s">
        <v>494</v>
      </c>
      <c r="F110" s="6" t="s">
        <v>495</v>
      </c>
      <c r="G110" s="7"/>
      <c r="H110" s="7"/>
      <c r="I110" s="7"/>
    </row>
    <row r="111" spans="1:9" x14ac:dyDescent="0.3">
      <c r="A111" s="6" t="s">
        <v>449</v>
      </c>
      <c r="B111" s="6" t="s">
        <v>48</v>
      </c>
      <c r="C111" s="6" t="s">
        <v>498</v>
      </c>
      <c r="D111" s="6" t="s">
        <v>493</v>
      </c>
      <c r="E111" s="6" t="s">
        <v>494</v>
      </c>
      <c r="F111" s="6" t="s">
        <v>495</v>
      </c>
      <c r="G111" s="7"/>
      <c r="H111" s="7"/>
      <c r="I111" s="7" t="s">
        <v>500</v>
      </c>
    </row>
    <row r="112" spans="1:9" x14ac:dyDescent="0.3">
      <c r="A112" s="6" t="s">
        <v>449</v>
      </c>
      <c r="B112" s="6" t="s">
        <v>48</v>
      </c>
      <c r="C112" s="6" t="s">
        <v>492</v>
      </c>
      <c r="D112" s="6" t="s">
        <v>493</v>
      </c>
      <c r="E112" s="6" t="s">
        <v>494</v>
      </c>
      <c r="F112" s="6" t="s">
        <v>495</v>
      </c>
      <c r="G112" s="7"/>
      <c r="H112" s="7"/>
      <c r="I112" s="7"/>
    </row>
    <row r="113" spans="1:9" x14ac:dyDescent="0.3">
      <c r="A113" s="6" t="s">
        <v>449</v>
      </c>
      <c r="B113" s="6" t="s">
        <v>48</v>
      </c>
      <c r="C113" s="6" t="s">
        <v>499</v>
      </c>
      <c r="D113" s="6" t="s">
        <v>493</v>
      </c>
      <c r="E113" s="6" t="s">
        <v>494</v>
      </c>
      <c r="F113" s="6" t="s">
        <v>495</v>
      </c>
      <c r="G113" s="7"/>
      <c r="H113" s="7"/>
      <c r="I113" s="7"/>
    </row>
    <row r="114" spans="1:9" x14ac:dyDescent="0.3">
      <c r="A114" s="6" t="s">
        <v>452</v>
      </c>
      <c r="B114" s="6" t="s">
        <v>59</v>
      </c>
      <c r="C114" s="6" t="s">
        <v>498</v>
      </c>
      <c r="D114" s="6" t="s">
        <v>493</v>
      </c>
      <c r="E114" s="6" t="s">
        <v>494</v>
      </c>
      <c r="F114" s="6" t="s">
        <v>495</v>
      </c>
      <c r="G114" s="7">
        <v>70</v>
      </c>
      <c r="H114" s="7" t="s">
        <v>505</v>
      </c>
      <c r="I114" s="7" t="s">
        <v>506</v>
      </c>
    </row>
    <row r="115" spans="1:9" x14ac:dyDescent="0.3">
      <c r="A115" s="6" t="s">
        <v>452</v>
      </c>
      <c r="B115" s="6" t="s">
        <v>59</v>
      </c>
      <c r="C115" s="6" t="s">
        <v>492</v>
      </c>
      <c r="D115" s="6" t="s">
        <v>493</v>
      </c>
      <c r="E115" s="6" t="s">
        <v>494</v>
      </c>
      <c r="F115" s="6" t="s">
        <v>495</v>
      </c>
      <c r="G115" s="7">
        <v>85</v>
      </c>
      <c r="H115" s="7" t="s">
        <v>505</v>
      </c>
      <c r="I115" s="7" t="s">
        <v>506</v>
      </c>
    </row>
    <row r="116" spans="1:9" x14ac:dyDescent="0.3">
      <c r="A116" s="6" t="s">
        <v>452</v>
      </c>
      <c r="B116" s="6" t="s">
        <v>59</v>
      </c>
      <c r="C116" s="6" t="s">
        <v>499</v>
      </c>
      <c r="D116" s="6" t="s">
        <v>493</v>
      </c>
      <c r="E116" s="6" t="s">
        <v>494</v>
      </c>
      <c r="F116" s="6" t="s">
        <v>495</v>
      </c>
      <c r="G116" s="7">
        <v>60</v>
      </c>
      <c r="H116" s="7" t="s">
        <v>505</v>
      </c>
      <c r="I116" s="7" t="s">
        <v>506</v>
      </c>
    </row>
    <row r="117" spans="1:9" x14ac:dyDescent="0.3">
      <c r="A117" s="6" t="s">
        <v>456</v>
      </c>
      <c r="B117" s="6" t="s">
        <v>43</v>
      </c>
      <c r="C117" s="6" t="s">
        <v>498</v>
      </c>
      <c r="D117" s="6" t="s">
        <v>493</v>
      </c>
      <c r="E117" s="6" t="s">
        <v>494</v>
      </c>
      <c r="F117" s="6" t="s">
        <v>495</v>
      </c>
      <c r="G117" s="7">
        <v>30</v>
      </c>
      <c r="H117" s="7" t="s">
        <v>505</v>
      </c>
      <c r="I117" s="7" t="s">
        <v>506</v>
      </c>
    </row>
    <row r="118" spans="1:9" x14ac:dyDescent="0.3">
      <c r="A118" s="6" t="s">
        <v>456</v>
      </c>
      <c r="B118" s="6" t="s">
        <v>43</v>
      </c>
      <c r="C118" s="6" t="s">
        <v>492</v>
      </c>
      <c r="D118" s="6" t="s">
        <v>493</v>
      </c>
      <c r="E118" s="6" t="s">
        <v>494</v>
      </c>
      <c r="F118" s="6" t="s">
        <v>495</v>
      </c>
      <c r="G118" s="7">
        <v>48</v>
      </c>
      <c r="H118" s="7" t="s">
        <v>505</v>
      </c>
      <c r="I118" s="7" t="s">
        <v>506</v>
      </c>
    </row>
    <row r="119" spans="1:9" x14ac:dyDescent="0.3">
      <c r="A119" s="6" t="s">
        <v>456</v>
      </c>
      <c r="B119" s="6" t="s">
        <v>43</v>
      </c>
      <c r="C119" s="6" t="s">
        <v>499</v>
      </c>
      <c r="D119" s="6" t="s">
        <v>493</v>
      </c>
      <c r="E119" s="6" t="s">
        <v>494</v>
      </c>
      <c r="F119" s="6" t="s">
        <v>495</v>
      </c>
      <c r="G119" s="7">
        <v>35</v>
      </c>
      <c r="H119" s="7" t="s">
        <v>505</v>
      </c>
      <c r="I119" s="7" t="s">
        <v>506</v>
      </c>
    </row>
    <row r="120" spans="1:9" x14ac:dyDescent="0.3">
      <c r="A120" s="6" t="s">
        <v>460</v>
      </c>
      <c r="B120" s="6" t="s">
        <v>45</v>
      </c>
      <c r="C120" s="6" t="s">
        <v>498</v>
      </c>
      <c r="D120" s="6" t="s">
        <v>493</v>
      </c>
      <c r="E120" s="6" t="s">
        <v>494</v>
      </c>
      <c r="F120" s="6" t="s">
        <v>495</v>
      </c>
      <c r="G120" s="7"/>
      <c r="H120" s="7"/>
      <c r="I120" s="7"/>
    </row>
    <row r="121" spans="1:9" x14ac:dyDescent="0.3">
      <c r="A121" s="6" t="s">
        <v>460</v>
      </c>
      <c r="B121" s="6" t="s">
        <v>45</v>
      </c>
      <c r="C121" s="6" t="s">
        <v>492</v>
      </c>
      <c r="D121" s="6" t="s">
        <v>493</v>
      </c>
      <c r="E121" s="6" t="s">
        <v>494</v>
      </c>
      <c r="F121" s="6" t="s">
        <v>495</v>
      </c>
      <c r="G121" s="7"/>
      <c r="H121" s="7"/>
      <c r="I121" s="7"/>
    </row>
    <row r="122" spans="1:9" x14ac:dyDescent="0.3">
      <c r="A122" s="6" t="s">
        <v>460</v>
      </c>
      <c r="B122" s="6" t="s">
        <v>45</v>
      </c>
      <c r="C122" s="6" t="s">
        <v>499</v>
      </c>
      <c r="D122" s="6" t="s">
        <v>493</v>
      </c>
      <c r="E122" s="6" t="s">
        <v>494</v>
      </c>
      <c r="F122" s="6" t="s">
        <v>495</v>
      </c>
      <c r="G122" s="7"/>
      <c r="H122" s="7"/>
      <c r="I122" s="7"/>
    </row>
    <row r="123" spans="1:9" x14ac:dyDescent="0.3">
      <c r="A123" s="6" t="s">
        <v>463</v>
      </c>
      <c r="B123" s="6" t="s">
        <v>40</v>
      </c>
      <c r="C123" s="6" t="s">
        <v>498</v>
      </c>
      <c r="D123" s="6" t="s">
        <v>493</v>
      </c>
      <c r="E123" s="6" t="s">
        <v>494</v>
      </c>
      <c r="F123" s="6" t="s">
        <v>495</v>
      </c>
      <c r="G123" s="7"/>
      <c r="H123" s="7"/>
      <c r="I123" s="7" t="s">
        <v>500</v>
      </c>
    </row>
    <row r="124" spans="1:9" x14ac:dyDescent="0.3">
      <c r="A124" s="6" t="s">
        <v>463</v>
      </c>
      <c r="B124" s="6" t="s">
        <v>40</v>
      </c>
      <c r="C124" s="6" t="s">
        <v>492</v>
      </c>
      <c r="D124" s="6" t="s">
        <v>493</v>
      </c>
      <c r="E124" s="6" t="s">
        <v>494</v>
      </c>
      <c r="F124" s="6" t="s">
        <v>495</v>
      </c>
      <c r="G124" s="7"/>
      <c r="H124" s="7"/>
      <c r="I124" s="7"/>
    </row>
    <row r="125" spans="1:9" x14ac:dyDescent="0.3">
      <c r="A125" s="6" t="s">
        <v>463</v>
      </c>
      <c r="B125" s="6" t="s">
        <v>40</v>
      </c>
      <c r="C125" s="6" t="s">
        <v>499</v>
      </c>
      <c r="D125" s="6" t="s">
        <v>493</v>
      </c>
      <c r="E125" s="6" t="s">
        <v>494</v>
      </c>
      <c r="F125" s="6" t="s">
        <v>495</v>
      </c>
      <c r="G125" s="7"/>
      <c r="H125" s="7"/>
      <c r="I125" s="7"/>
    </row>
    <row r="126" spans="1:9" x14ac:dyDescent="0.3">
      <c r="A126" s="6" t="s">
        <v>466</v>
      </c>
      <c r="B126" s="6" t="s">
        <v>53</v>
      </c>
      <c r="C126" s="6" t="s">
        <v>498</v>
      </c>
      <c r="D126" s="6" t="s">
        <v>493</v>
      </c>
      <c r="E126" s="6" t="s">
        <v>494</v>
      </c>
      <c r="F126" s="6" t="s">
        <v>495</v>
      </c>
      <c r="G126" s="7"/>
      <c r="H126" s="7"/>
      <c r="I126" s="7"/>
    </row>
    <row r="127" spans="1:9" x14ac:dyDescent="0.3">
      <c r="A127" s="6" t="s">
        <v>466</v>
      </c>
      <c r="B127" s="6" t="s">
        <v>53</v>
      </c>
      <c r="C127" s="6" t="s">
        <v>492</v>
      </c>
      <c r="D127" s="6" t="s">
        <v>493</v>
      </c>
      <c r="E127" s="6" t="s">
        <v>494</v>
      </c>
      <c r="F127" s="6" t="s">
        <v>495</v>
      </c>
      <c r="G127" s="7"/>
      <c r="H127" s="7"/>
      <c r="I127" s="7"/>
    </row>
    <row r="128" spans="1:9" x14ac:dyDescent="0.3">
      <c r="A128" s="6" t="s">
        <v>466</v>
      </c>
      <c r="B128" s="6" t="s">
        <v>53</v>
      </c>
      <c r="C128" s="6" t="s">
        <v>499</v>
      </c>
      <c r="D128" s="6" t="s">
        <v>493</v>
      </c>
      <c r="E128" s="6" t="s">
        <v>494</v>
      </c>
      <c r="F128" s="6" t="s">
        <v>495</v>
      </c>
      <c r="G128" s="7"/>
      <c r="H128" s="7"/>
      <c r="I128" s="7"/>
    </row>
    <row r="129" spans="1:9" x14ac:dyDescent="0.3">
      <c r="A129" s="6" t="s">
        <v>469</v>
      </c>
      <c r="B129" s="6" t="s">
        <v>176</v>
      </c>
      <c r="C129" s="6" t="s">
        <v>498</v>
      </c>
      <c r="D129" s="6" t="s">
        <v>493</v>
      </c>
      <c r="E129" s="6" t="s">
        <v>494</v>
      </c>
      <c r="F129" s="6" t="s">
        <v>495</v>
      </c>
      <c r="G129" s="7"/>
      <c r="H129" s="7"/>
      <c r="I129" s="7" t="s">
        <v>500</v>
      </c>
    </row>
    <row r="130" spans="1:9" x14ac:dyDescent="0.3">
      <c r="A130" s="6" t="s">
        <v>469</v>
      </c>
      <c r="B130" s="6" t="s">
        <v>176</v>
      </c>
      <c r="C130" s="6" t="s">
        <v>492</v>
      </c>
      <c r="D130" s="6" t="s">
        <v>493</v>
      </c>
      <c r="E130" s="6" t="s">
        <v>494</v>
      </c>
      <c r="F130" s="6" t="s">
        <v>495</v>
      </c>
      <c r="G130" s="7"/>
      <c r="H130" s="7"/>
      <c r="I130" s="7"/>
    </row>
    <row r="131" spans="1:9" x14ac:dyDescent="0.3">
      <c r="A131" s="6" t="s">
        <v>469</v>
      </c>
      <c r="B131" s="6" t="s">
        <v>176</v>
      </c>
      <c r="C131" s="6" t="s">
        <v>499</v>
      </c>
      <c r="D131" s="6" t="s">
        <v>493</v>
      </c>
      <c r="E131" s="6" t="s">
        <v>494</v>
      </c>
      <c r="F131" s="6" t="s">
        <v>495</v>
      </c>
      <c r="G131" s="7"/>
      <c r="H131" s="7"/>
      <c r="I131" s="7"/>
    </row>
    <row r="132" spans="1:9" x14ac:dyDescent="0.3">
      <c r="A132" s="6" t="s">
        <v>472</v>
      </c>
      <c r="B132" s="6" t="s">
        <v>171</v>
      </c>
      <c r="C132" s="6" t="s">
        <v>498</v>
      </c>
      <c r="D132" s="6" t="s">
        <v>493</v>
      </c>
      <c r="E132" s="6" t="s">
        <v>494</v>
      </c>
      <c r="F132" s="6" t="s">
        <v>495</v>
      </c>
      <c r="G132" s="7"/>
      <c r="H132" s="7"/>
      <c r="I132" s="7"/>
    </row>
    <row r="133" spans="1:9" x14ac:dyDescent="0.3">
      <c r="A133" s="6" t="s">
        <v>472</v>
      </c>
      <c r="B133" s="6" t="s">
        <v>171</v>
      </c>
      <c r="C133" s="6" t="s">
        <v>492</v>
      </c>
      <c r="D133" s="6" t="s">
        <v>493</v>
      </c>
      <c r="E133" s="6" t="s">
        <v>494</v>
      </c>
      <c r="F133" s="6" t="s">
        <v>495</v>
      </c>
      <c r="G133" s="7"/>
      <c r="H133" s="7"/>
      <c r="I133" s="7"/>
    </row>
    <row r="134" spans="1:9" x14ac:dyDescent="0.3">
      <c r="A134" s="6" t="s">
        <v>472</v>
      </c>
      <c r="B134" s="6" t="s">
        <v>171</v>
      </c>
      <c r="C134" s="6" t="s">
        <v>499</v>
      </c>
      <c r="D134" s="6" t="s">
        <v>493</v>
      </c>
      <c r="E134" s="6" t="s">
        <v>494</v>
      </c>
      <c r="F134" s="6" t="s">
        <v>495</v>
      </c>
      <c r="G134" s="7"/>
      <c r="H134" s="7"/>
      <c r="I134" s="7"/>
    </row>
    <row r="135" spans="1:9" x14ac:dyDescent="0.3">
      <c r="A135" s="6" t="s">
        <v>475</v>
      </c>
      <c r="B135" s="6" t="s">
        <v>166</v>
      </c>
      <c r="C135" s="6" t="s">
        <v>498</v>
      </c>
      <c r="D135" s="6" t="s">
        <v>493</v>
      </c>
      <c r="E135" s="6" t="s">
        <v>494</v>
      </c>
      <c r="F135" s="6" t="s">
        <v>495</v>
      </c>
      <c r="G135" s="7"/>
      <c r="H135" s="7"/>
      <c r="I135" s="7"/>
    </row>
    <row r="136" spans="1:9" x14ac:dyDescent="0.3">
      <c r="A136" s="6" t="s">
        <v>475</v>
      </c>
      <c r="B136" s="6" t="s">
        <v>166</v>
      </c>
      <c r="C136" s="6" t="s">
        <v>492</v>
      </c>
      <c r="D136" s="6" t="s">
        <v>493</v>
      </c>
      <c r="E136" s="6" t="s">
        <v>494</v>
      </c>
      <c r="F136" s="6" t="s">
        <v>495</v>
      </c>
      <c r="G136" s="7"/>
      <c r="H136" s="7"/>
      <c r="I136" s="7"/>
    </row>
    <row r="137" spans="1:9" x14ac:dyDescent="0.3">
      <c r="A137" s="6" t="s">
        <v>475</v>
      </c>
      <c r="B137" s="6" t="s">
        <v>166</v>
      </c>
      <c r="C137" s="6" t="s">
        <v>499</v>
      </c>
      <c r="D137" s="6" t="s">
        <v>493</v>
      </c>
      <c r="E137" s="6" t="s">
        <v>494</v>
      </c>
      <c r="F137" s="6" t="s">
        <v>495</v>
      </c>
      <c r="G137" s="7"/>
      <c r="H137" s="7"/>
      <c r="I137" s="7"/>
    </row>
    <row r="138" spans="1:9" x14ac:dyDescent="0.3">
      <c r="A138" s="6" t="s">
        <v>478</v>
      </c>
      <c r="B138" s="6" t="s">
        <v>157</v>
      </c>
      <c r="C138" s="6" t="s">
        <v>498</v>
      </c>
      <c r="D138" s="6" t="s">
        <v>493</v>
      </c>
      <c r="E138" s="6" t="s">
        <v>494</v>
      </c>
      <c r="F138" s="6" t="s">
        <v>495</v>
      </c>
      <c r="G138" s="7"/>
      <c r="H138" s="7"/>
      <c r="I138" s="7"/>
    </row>
    <row r="139" spans="1:9" x14ac:dyDescent="0.3">
      <c r="A139" s="6" t="s">
        <v>478</v>
      </c>
      <c r="B139" s="6" t="s">
        <v>157</v>
      </c>
      <c r="C139" s="6" t="s">
        <v>492</v>
      </c>
      <c r="D139" s="6" t="s">
        <v>493</v>
      </c>
      <c r="E139" s="6" t="s">
        <v>494</v>
      </c>
      <c r="F139" s="6" t="s">
        <v>495</v>
      </c>
      <c r="G139" s="7"/>
      <c r="H139" s="7"/>
      <c r="I139" s="7"/>
    </row>
    <row r="140" spans="1:9" x14ac:dyDescent="0.3">
      <c r="A140" s="6" t="s">
        <v>478</v>
      </c>
      <c r="B140" s="6" t="s">
        <v>157</v>
      </c>
      <c r="C140" s="6" t="s">
        <v>499</v>
      </c>
      <c r="D140" s="6" t="s">
        <v>493</v>
      </c>
      <c r="E140" s="6" t="s">
        <v>494</v>
      </c>
      <c r="F140" s="6" t="s">
        <v>495</v>
      </c>
      <c r="G140" s="7"/>
      <c r="H140" s="7"/>
      <c r="I140" s="7"/>
    </row>
    <row r="141" spans="1:9" x14ac:dyDescent="0.3">
      <c r="A141" s="6" t="s">
        <v>481</v>
      </c>
      <c r="B141" s="6" t="s">
        <v>174</v>
      </c>
      <c r="C141" s="6" t="s">
        <v>498</v>
      </c>
      <c r="D141" s="6" t="s">
        <v>493</v>
      </c>
      <c r="E141" s="6" t="s">
        <v>494</v>
      </c>
      <c r="F141" s="6" t="s">
        <v>495</v>
      </c>
      <c r="G141" s="7"/>
      <c r="H141" s="7"/>
      <c r="I141" s="7"/>
    </row>
    <row r="142" spans="1:9" x14ac:dyDescent="0.3">
      <c r="A142" s="6" t="s">
        <v>481</v>
      </c>
      <c r="B142" s="6" t="s">
        <v>174</v>
      </c>
      <c r="C142" s="6" t="s">
        <v>492</v>
      </c>
      <c r="D142" s="6" t="s">
        <v>493</v>
      </c>
      <c r="E142" s="6" t="s">
        <v>494</v>
      </c>
      <c r="F142" s="6" t="s">
        <v>495</v>
      </c>
      <c r="G142" s="7"/>
      <c r="H142" s="7"/>
      <c r="I142" s="7"/>
    </row>
    <row r="143" spans="1:9" x14ac:dyDescent="0.3">
      <c r="A143" s="6" t="s">
        <v>481</v>
      </c>
      <c r="B143" s="6" t="s">
        <v>174</v>
      </c>
      <c r="C143" s="6" t="s">
        <v>499</v>
      </c>
      <c r="D143" s="6" t="s">
        <v>493</v>
      </c>
      <c r="E143" s="6" t="s">
        <v>494</v>
      </c>
      <c r="F143" s="6" t="s">
        <v>495</v>
      </c>
      <c r="G143" s="7"/>
      <c r="H143" s="7"/>
      <c r="I143" s="7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5"/>
  <sheetViews>
    <sheetView topLeftCell="A18" workbookViewId="0">
      <selection activeCell="A36" sqref="A36"/>
    </sheetView>
  </sheetViews>
  <sheetFormatPr defaultRowHeight="14.4" x14ac:dyDescent="0.3"/>
  <cols>
    <col min="1" max="1" width="100" customWidth="1"/>
  </cols>
  <sheetData>
    <row r="1" spans="1:1" ht="16.8" x14ac:dyDescent="0.3">
      <c r="A1" s="8" t="s">
        <v>507</v>
      </c>
    </row>
    <row r="2" spans="1:1" x14ac:dyDescent="0.3">
      <c r="A2" s="9" t="s">
        <v>508</v>
      </c>
    </row>
    <row r="3" spans="1:1" x14ac:dyDescent="0.3">
      <c r="A3" s="9"/>
    </row>
    <row r="4" spans="1:1" x14ac:dyDescent="0.3">
      <c r="A4" s="10" t="s">
        <v>509</v>
      </c>
    </row>
    <row r="5" spans="1:1" x14ac:dyDescent="0.3">
      <c r="A5" s="9" t="s">
        <v>510</v>
      </c>
    </row>
    <row r="6" spans="1:1" x14ac:dyDescent="0.3">
      <c r="A6" s="9" t="s">
        <v>511</v>
      </c>
    </row>
    <row r="7" spans="1:1" x14ac:dyDescent="0.3">
      <c r="A7" s="9"/>
    </row>
    <row r="8" spans="1:1" x14ac:dyDescent="0.3">
      <c r="A8" s="10" t="s">
        <v>512</v>
      </c>
    </row>
    <row r="9" spans="1:1" ht="26.4" x14ac:dyDescent="0.3">
      <c r="A9" s="9" t="s">
        <v>513</v>
      </c>
    </row>
    <row r="10" spans="1:1" x14ac:dyDescent="0.3">
      <c r="A10" s="9" t="s">
        <v>514</v>
      </c>
    </row>
    <row r="11" spans="1:1" x14ac:dyDescent="0.3">
      <c r="A11" s="9"/>
    </row>
    <row r="12" spans="1:1" x14ac:dyDescent="0.3">
      <c r="A12" s="10" t="s">
        <v>515</v>
      </c>
    </row>
    <row r="13" spans="1:1" x14ac:dyDescent="0.3">
      <c r="A13" s="9" t="s">
        <v>516</v>
      </c>
    </row>
    <row r="14" spans="1:1" x14ac:dyDescent="0.3">
      <c r="A14" s="9" t="s">
        <v>517</v>
      </c>
    </row>
    <row r="15" spans="1:1" x14ac:dyDescent="0.3">
      <c r="A15" s="9" t="s">
        <v>518</v>
      </c>
    </row>
    <row r="16" spans="1:1" x14ac:dyDescent="0.3">
      <c r="A16" s="9" t="s">
        <v>519</v>
      </c>
    </row>
    <row r="17" spans="1:1" x14ac:dyDescent="0.3">
      <c r="A17" s="9" t="s">
        <v>520</v>
      </c>
    </row>
    <row r="18" spans="1:1" x14ac:dyDescent="0.3">
      <c r="A18" s="9" t="s">
        <v>521</v>
      </c>
    </row>
    <row r="19" spans="1:1" x14ac:dyDescent="0.3">
      <c r="A19" s="9"/>
    </row>
    <row r="20" spans="1:1" x14ac:dyDescent="0.3">
      <c r="A20" s="10" t="s">
        <v>522</v>
      </c>
    </row>
    <row r="21" spans="1:1" x14ac:dyDescent="0.3">
      <c r="A21" s="9" t="s">
        <v>523</v>
      </c>
    </row>
    <row r="22" spans="1:1" x14ac:dyDescent="0.3">
      <c r="A22" s="9" t="s">
        <v>524</v>
      </c>
    </row>
    <row r="23" spans="1:1" x14ac:dyDescent="0.3">
      <c r="A23" s="9" t="s">
        <v>525</v>
      </c>
    </row>
    <row r="24" spans="1:1" x14ac:dyDescent="0.3">
      <c r="A24" s="9" t="s">
        <v>526</v>
      </c>
    </row>
    <row r="25" spans="1:1" x14ac:dyDescent="0.3">
      <c r="A25" s="9"/>
    </row>
    <row r="26" spans="1:1" x14ac:dyDescent="0.3">
      <c r="A26" s="10" t="s">
        <v>527</v>
      </c>
    </row>
    <row r="27" spans="1:1" x14ac:dyDescent="0.3">
      <c r="A27" s="9" t="s">
        <v>528</v>
      </c>
    </row>
    <row r="28" spans="1:1" x14ac:dyDescent="0.3">
      <c r="A28" s="9" t="s">
        <v>529</v>
      </c>
    </row>
    <row r="29" spans="1:1" x14ac:dyDescent="0.3">
      <c r="A29" s="9" t="s">
        <v>530</v>
      </c>
    </row>
    <row r="30" spans="1:1" x14ac:dyDescent="0.3">
      <c r="A30" s="9" t="s">
        <v>531</v>
      </c>
    </row>
    <row r="31" spans="1:1" x14ac:dyDescent="0.3">
      <c r="A31" s="9" t="s">
        <v>532</v>
      </c>
    </row>
    <row r="32" spans="1:1" x14ac:dyDescent="0.3">
      <c r="A32" s="9" t="s">
        <v>533</v>
      </c>
    </row>
    <row r="33" spans="1:1" x14ac:dyDescent="0.3">
      <c r="A33" s="9" t="s">
        <v>534</v>
      </c>
    </row>
    <row r="34" spans="1:1" x14ac:dyDescent="0.3">
      <c r="A34" s="9" t="s">
        <v>557</v>
      </c>
    </row>
    <row r="35" spans="1:1" x14ac:dyDescent="0.3">
      <c r="A35" s="9" t="s">
        <v>558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2FE1-1015-4126-A0ED-DD053AB011C7}">
  <dimension ref="B2:B16"/>
  <sheetViews>
    <sheetView tabSelected="1" workbookViewId="0">
      <selection activeCell="H13" sqref="H13"/>
    </sheetView>
  </sheetViews>
  <sheetFormatPr defaultRowHeight="14.4" x14ac:dyDescent="0.3"/>
  <sheetData>
    <row r="2" spans="2:2" x14ac:dyDescent="0.3">
      <c r="B2" t="s">
        <v>565</v>
      </c>
    </row>
    <row r="3" spans="2:2" x14ac:dyDescent="0.3">
      <c r="B3" t="s">
        <v>566</v>
      </c>
    </row>
    <row r="4" spans="2:2" x14ac:dyDescent="0.3">
      <c r="B4" t="s">
        <v>567</v>
      </c>
    </row>
    <row r="5" spans="2:2" x14ac:dyDescent="0.3">
      <c r="B5" t="s">
        <v>568</v>
      </c>
    </row>
    <row r="6" spans="2:2" x14ac:dyDescent="0.3">
      <c r="B6" t="s">
        <v>569</v>
      </c>
    </row>
    <row r="7" spans="2:2" x14ac:dyDescent="0.3">
      <c r="B7" t="s">
        <v>571</v>
      </c>
    </row>
    <row r="8" spans="2:2" x14ac:dyDescent="0.3">
      <c r="B8" t="s">
        <v>572</v>
      </c>
    </row>
    <row r="9" spans="2:2" x14ac:dyDescent="0.3">
      <c r="B9" t="s">
        <v>570</v>
      </c>
    </row>
    <row r="10" spans="2:2" x14ac:dyDescent="0.3">
      <c r="B10" t="s">
        <v>574</v>
      </c>
    </row>
    <row r="12" spans="2:2" x14ac:dyDescent="0.3">
      <c r="B12" t="s">
        <v>575</v>
      </c>
    </row>
    <row r="13" spans="2:2" x14ac:dyDescent="0.3">
      <c r="B13" t="s">
        <v>573</v>
      </c>
    </row>
    <row r="16" spans="2:2" x14ac:dyDescent="0.3">
      <c r="B16" t="s">
        <v>721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32" customWidth="1"/>
    <col min="3" max="3" width="20" customWidth="1"/>
    <col min="4" max="5" width="16" customWidth="1"/>
    <col min="6" max="7" width="11" customWidth="1"/>
    <col min="8" max="8" width="10" customWidth="1"/>
    <col min="9" max="10" width="12" customWidth="1"/>
    <col min="11" max="11" width="34" customWidth="1"/>
  </cols>
  <sheetData>
    <row r="1" spans="1:11" ht="26.4" x14ac:dyDescent="0.3">
      <c r="A1" s="1" t="s">
        <v>275</v>
      </c>
      <c r="B1" s="1" t="s">
        <v>1</v>
      </c>
      <c r="C1" s="1" t="s">
        <v>2</v>
      </c>
      <c r="D1" s="1" t="s">
        <v>5</v>
      </c>
      <c r="E1" s="1" t="s">
        <v>535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3">
      <c r="A2" s="6" t="s">
        <v>291</v>
      </c>
      <c r="B2" s="6" t="s">
        <v>267</v>
      </c>
      <c r="C2" s="6" t="s">
        <v>268</v>
      </c>
      <c r="D2" s="6" t="s">
        <v>269</v>
      </c>
      <c r="E2" s="6" t="s">
        <v>41</v>
      </c>
      <c r="F2" s="7"/>
      <c r="G2" s="7"/>
      <c r="H2" s="7"/>
      <c r="I2" s="7"/>
      <c r="J2" s="7"/>
      <c r="K2" s="6"/>
    </row>
    <row r="3" spans="1:11" x14ac:dyDescent="0.3">
      <c r="A3" s="6" t="s">
        <v>298</v>
      </c>
      <c r="B3" s="6" t="s">
        <v>272</v>
      </c>
      <c r="C3" s="6" t="s">
        <v>265</v>
      </c>
      <c r="D3" s="6" t="s">
        <v>273</v>
      </c>
      <c r="E3" s="6" t="s">
        <v>41</v>
      </c>
      <c r="F3" s="7"/>
      <c r="G3" s="7"/>
      <c r="H3" s="7"/>
      <c r="I3" s="7"/>
      <c r="J3" s="7"/>
      <c r="K3" s="6"/>
    </row>
    <row r="4" spans="1:11" x14ac:dyDescent="0.3">
      <c r="A4" s="6" t="s">
        <v>304</v>
      </c>
      <c r="B4" s="6" t="s">
        <v>161</v>
      </c>
      <c r="C4" s="6" t="s">
        <v>162</v>
      </c>
      <c r="D4" s="6" t="s">
        <v>163</v>
      </c>
      <c r="E4" s="6" t="s">
        <v>41</v>
      </c>
      <c r="F4" s="7"/>
      <c r="G4" s="7"/>
      <c r="H4" s="7"/>
      <c r="I4" s="7"/>
      <c r="J4" s="7"/>
      <c r="K4" s="6"/>
    </row>
    <row r="5" spans="1:11" x14ac:dyDescent="0.3">
      <c r="A5" s="6" t="s">
        <v>308</v>
      </c>
      <c r="B5" s="6" t="s">
        <v>270</v>
      </c>
      <c r="C5" s="6" t="s">
        <v>268</v>
      </c>
      <c r="D5" s="6" t="s">
        <v>271</v>
      </c>
      <c r="E5" s="6" t="s">
        <v>41</v>
      </c>
      <c r="F5" s="7"/>
      <c r="G5" s="7"/>
      <c r="H5" s="7"/>
      <c r="I5" s="7"/>
      <c r="J5" s="7"/>
      <c r="K5" s="6"/>
    </row>
    <row r="6" spans="1:11" x14ac:dyDescent="0.3">
      <c r="A6" s="6" t="s">
        <v>312</v>
      </c>
      <c r="B6" s="6" t="s">
        <v>153</v>
      </c>
      <c r="C6" s="6" t="s">
        <v>105</v>
      </c>
      <c r="D6" s="6" t="s">
        <v>154</v>
      </c>
      <c r="E6" s="6" t="s">
        <v>41</v>
      </c>
      <c r="F6" s="7"/>
      <c r="G6" s="7"/>
      <c r="H6" s="7"/>
      <c r="I6" s="7"/>
      <c r="J6" s="7"/>
      <c r="K6" s="6"/>
    </row>
    <row r="7" spans="1:11" x14ac:dyDescent="0.3">
      <c r="A7" s="6" t="s">
        <v>315</v>
      </c>
      <c r="B7" s="6" t="s">
        <v>164</v>
      </c>
      <c r="C7" s="6" t="s">
        <v>162</v>
      </c>
      <c r="D7" s="6" t="s">
        <v>165</v>
      </c>
      <c r="E7" s="6" t="s">
        <v>41</v>
      </c>
      <c r="F7" s="7"/>
      <c r="G7" s="7"/>
      <c r="H7" s="7"/>
      <c r="I7" s="7"/>
      <c r="J7" s="7"/>
      <c r="K7" s="6"/>
    </row>
    <row r="8" spans="1:11" x14ac:dyDescent="0.3">
      <c r="A8" s="6" t="s">
        <v>318</v>
      </c>
      <c r="B8" s="6" t="s">
        <v>149</v>
      </c>
      <c r="C8" s="6" t="s">
        <v>105</v>
      </c>
      <c r="D8" s="6" t="s">
        <v>150</v>
      </c>
      <c r="E8" s="6" t="s">
        <v>41</v>
      </c>
      <c r="F8" s="7"/>
      <c r="G8" s="7"/>
      <c r="H8" s="7"/>
      <c r="I8" s="7"/>
      <c r="J8" s="7"/>
      <c r="K8" s="6"/>
    </row>
    <row r="9" spans="1:11" x14ac:dyDescent="0.3">
      <c r="A9" s="6" t="s">
        <v>321</v>
      </c>
      <c r="B9" s="6" t="s">
        <v>155</v>
      </c>
      <c r="C9" s="6" t="s">
        <v>105</v>
      </c>
      <c r="D9" s="6" t="s">
        <v>156</v>
      </c>
      <c r="E9" s="6" t="s">
        <v>41</v>
      </c>
      <c r="F9" s="7"/>
      <c r="G9" s="7"/>
      <c r="H9" s="7"/>
      <c r="I9" s="7"/>
      <c r="J9" s="7"/>
      <c r="K9" s="6"/>
    </row>
    <row r="10" spans="1:11" x14ac:dyDescent="0.3">
      <c r="A10" s="6" t="s">
        <v>324</v>
      </c>
      <c r="B10" s="6" t="s">
        <v>245</v>
      </c>
      <c r="C10" s="6" t="s">
        <v>246</v>
      </c>
      <c r="D10" s="6" t="s">
        <v>247</v>
      </c>
      <c r="E10" s="6" t="s">
        <v>41</v>
      </c>
      <c r="F10" s="7"/>
      <c r="G10" s="7"/>
      <c r="H10" s="7"/>
      <c r="I10" s="7"/>
      <c r="J10" s="7"/>
      <c r="K10" s="6"/>
    </row>
    <row r="11" spans="1:11" x14ac:dyDescent="0.3">
      <c r="A11" s="6" t="s">
        <v>327</v>
      </c>
      <c r="B11" s="6" t="s">
        <v>261</v>
      </c>
      <c r="C11" s="6" t="s">
        <v>246</v>
      </c>
      <c r="D11" s="6" t="s">
        <v>262</v>
      </c>
      <c r="E11" s="6" t="s">
        <v>41</v>
      </c>
      <c r="F11" s="7"/>
      <c r="G11" s="7"/>
      <c r="H11" s="7"/>
      <c r="I11" s="7"/>
      <c r="J11" s="7"/>
      <c r="K11" s="6"/>
    </row>
    <row r="12" spans="1:11" x14ac:dyDescent="0.3">
      <c r="A12" s="6" t="s">
        <v>330</v>
      </c>
      <c r="B12" s="6" t="s">
        <v>248</v>
      </c>
      <c r="C12" s="6" t="s">
        <v>236</v>
      </c>
      <c r="D12" s="6" t="s">
        <v>249</v>
      </c>
      <c r="E12" s="6" t="s">
        <v>41</v>
      </c>
      <c r="F12" s="7"/>
      <c r="G12" s="7"/>
      <c r="H12" s="7"/>
      <c r="I12" s="7"/>
      <c r="J12" s="7"/>
      <c r="K12" s="6"/>
    </row>
    <row r="13" spans="1:11" x14ac:dyDescent="0.3">
      <c r="A13" s="6" t="s">
        <v>333</v>
      </c>
      <c r="B13" s="6" t="s">
        <v>235</v>
      </c>
      <c r="C13" s="6" t="s">
        <v>236</v>
      </c>
      <c r="D13" s="6" t="s">
        <v>237</v>
      </c>
      <c r="E13" s="6" t="s">
        <v>336</v>
      </c>
      <c r="F13" s="7"/>
      <c r="G13" s="7"/>
      <c r="H13" s="7"/>
      <c r="I13" s="7"/>
      <c r="J13" s="7"/>
      <c r="K13" s="6"/>
    </row>
    <row r="14" spans="1:11" x14ac:dyDescent="0.3">
      <c r="A14" s="6" t="s">
        <v>338</v>
      </c>
      <c r="B14" s="6" t="s">
        <v>251</v>
      </c>
      <c r="C14" s="6" t="s">
        <v>246</v>
      </c>
      <c r="D14" s="6" t="s">
        <v>252</v>
      </c>
      <c r="E14" s="6" t="s">
        <v>41</v>
      </c>
      <c r="F14" s="7"/>
      <c r="G14" s="7"/>
      <c r="H14" s="7"/>
      <c r="I14" s="7"/>
      <c r="J14" s="7"/>
      <c r="K14" s="6"/>
    </row>
    <row r="15" spans="1:11" x14ac:dyDescent="0.3">
      <c r="A15" s="6" t="s">
        <v>341</v>
      </c>
      <c r="B15" s="6" t="s">
        <v>258</v>
      </c>
      <c r="C15" s="6" t="s">
        <v>259</v>
      </c>
      <c r="D15" s="6" t="s">
        <v>260</v>
      </c>
      <c r="E15" s="6" t="s">
        <v>41</v>
      </c>
      <c r="F15" s="7"/>
      <c r="G15" s="7"/>
      <c r="H15" s="7"/>
      <c r="I15" s="7"/>
      <c r="J15" s="7"/>
      <c r="K15" s="6"/>
    </row>
    <row r="16" spans="1:11" x14ac:dyDescent="0.3">
      <c r="A16" s="6" t="s">
        <v>353</v>
      </c>
      <c r="B16" s="6" t="s">
        <v>256</v>
      </c>
      <c r="C16" s="6" t="s">
        <v>217</v>
      </c>
      <c r="D16" s="6" t="s">
        <v>257</v>
      </c>
      <c r="E16" s="6" t="s">
        <v>41</v>
      </c>
      <c r="F16" s="7"/>
      <c r="G16" s="7"/>
      <c r="H16" s="7"/>
      <c r="I16" s="7"/>
      <c r="J16" s="7"/>
      <c r="K16" s="6" t="s">
        <v>536</v>
      </c>
    </row>
    <row r="17" spans="1:11" x14ac:dyDescent="0.3">
      <c r="A17" s="6" t="s">
        <v>357</v>
      </c>
      <c r="B17" s="6" t="s">
        <v>243</v>
      </c>
      <c r="C17" s="6" t="s">
        <v>217</v>
      </c>
      <c r="D17" s="6" t="s">
        <v>244</v>
      </c>
      <c r="E17" s="6" t="s">
        <v>41</v>
      </c>
      <c r="F17" s="7"/>
      <c r="G17" s="7"/>
      <c r="H17" s="7"/>
      <c r="I17" s="7"/>
      <c r="J17" s="7"/>
      <c r="K17" s="6" t="s">
        <v>536</v>
      </c>
    </row>
    <row r="18" spans="1:11" x14ac:dyDescent="0.3">
      <c r="A18" s="6" t="s">
        <v>360</v>
      </c>
      <c r="B18" s="6" t="s">
        <v>151</v>
      </c>
      <c r="C18" s="6" t="s">
        <v>92</v>
      </c>
      <c r="D18" s="6" t="s">
        <v>152</v>
      </c>
      <c r="E18" s="6" t="s">
        <v>41</v>
      </c>
      <c r="F18" s="7"/>
      <c r="G18" s="7"/>
      <c r="H18" s="7"/>
      <c r="I18" s="7"/>
      <c r="J18" s="7"/>
      <c r="K18" s="6"/>
    </row>
    <row r="19" spans="1:11" x14ac:dyDescent="0.3">
      <c r="A19" s="6" t="s">
        <v>363</v>
      </c>
      <c r="B19" s="6" t="s">
        <v>168</v>
      </c>
      <c r="C19" s="6" t="s">
        <v>169</v>
      </c>
      <c r="D19" s="6" t="s">
        <v>170</v>
      </c>
      <c r="E19" s="6" t="s">
        <v>41</v>
      </c>
      <c r="F19" s="7"/>
      <c r="G19" s="7"/>
      <c r="H19" s="7"/>
      <c r="I19" s="7"/>
      <c r="J19" s="7"/>
      <c r="K19" s="6"/>
    </row>
    <row r="20" spans="1:11" x14ac:dyDescent="0.3">
      <c r="A20" s="6" t="s">
        <v>366</v>
      </c>
      <c r="B20" s="6" t="s">
        <v>253</v>
      </c>
      <c r="C20" s="6" t="s">
        <v>254</v>
      </c>
      <c r="D20" s="6" t="s">
        <v>255</v>
      </c>
      <c r="E20" s="6" t="s">
        <v>41</v>
      </c>
      <c r="F20" s="7"/>
      <c r="G20" s="7"/>
      <c r="H20" s="7"/>
      <c r="I20" s="7"/>
      <c r="J20" s="7"/>
      <c r="K20" s="6"/>
    </row>
    <row r="21" spans="1:11" x14ac:dyDescent="0.3">
      <c r="A21" s="6" t="s">
        <v>374</v>
      </c>
      <c r="B21" s="6" t="s">
        <v>159</v>
      </c>
      <c r="C21" s="6" t="s">
        <v>63</v>
      </c>
      <c r="D21" s="6" t="s">
        <v>160</v>
      </c>
      <c r="E21" s="6" t="s">
        <v>41</v>
      </c>
      <c r="F21" s="7"/>
      <c r="G21" s="7"/>
      <c r="H21" s="7"/>
      <c r="I21" s="7"/>
      <c r="J21" s="7"/>
      <c r="K21" s="6"/>
    </row>
    <row r="22" spans="1:11" x14ac:dyDescent="0.3">
      <c r="A22" s="6" t="s">
        <v>377</v>
      </c>
      <c r="B22" s="6" t="s">
        <v>207</v>
      </c>
      <c r="C22" s="6" t="s">
        <v>189</v>
      </c>
      <c r="D22" s="6" t="s">
        <v>208</v>
      </c>
      <c r="E22" s="6" t="s">
        <v>41</v>
      </c>
      <c r="F22" s="7"/>
      <c r="G22" s="7"/>
      <c r="H22" s="7"/>
      <c r="I22" s="7"/>
      <c r="J22" s="7"/>
      <c r="K22" s="6"/>
    </row>
    <row r="23" spans="1:11" x14ac:dyDescent="0.3">
      <c r="A23" s="6" t="s">
        <v>382</v>
      </c>
      <c r="B23" s="6" t="s">
        <v>199</v>
      </c>
      <c r="C23" s="6" t="s">
        <v>189</v>
      </c>
      <c r="D23" s="6" t="s">
        <v>200</v>
      </c>
      <c r="E23" s="6" t="s">
        <v>41</v>
      </c>
      <c r="F23" s="7"/>
      <c r="G23" s="7"/>
      <c r="H23" s="7"/>
      <c r="I23" s="7"/>
      <c r="J23" s="7"/>
      <c r="K23" s="6" t="s">
        <v>536</v>
      </c>
    </row>
    <row r="24" spans="1:11" x14ac:dyDescent="0.3">
      <c r="A24" s="6" t="s">
        <v>385</v>
      </c>
      <c r="B24" s="6" t="s">
        <v>203</v>
      </c>
      <c r="C24" s="6" t="s">
        <v>189</v>
      </c>
      <c r="D24" s="6" t="s">
        <v>204</v>
      </c>
      <c r="E24" s="6" t="s">
        <v>41</v>
      </c>
      <c r="F24" s="7"/>
      <c r="G24" s="7"/>
      <c r="H24" s="7"/>
      <c r="I24" s="7"/>
      <c r="J24" s="7"/>
      <c r="K24" s="6" t="s">
        <v>536</v>
      </c>
    </row>
    <row r="25" spans="1:11" x14ac:dyDescent="0.3">
      <c r="A25" s="6" t="s">
        <v>388</v>
      </c>
      <c r="B25" s="6" t="s">
        <v>209</v>
      </c>
      <c r="C25" s="6" t="s">
        <v>195</v>
      </c>
      <c r="D25" s="6" t="s">
        <v>210</v>
      </c>
      <c r="E25" s="6" t="s">
        <v>41</v>
      </c>
      <c r="F25" s="7"/>
      <c r="G25" s="7"/>
      <c r="H25" s="7"/>
      <c r="I25" s="7"/>
      <c r="J25" s="7"/>
      <c r="K25" s="6"/>
    </row>
    <row r="26" spans="1:11" x14ac:dyDescent="0.3">
      <c r="A26" s="6" t="s">
        <v>391</v>
      </c>
      <c r="B26" s="6" t="s">
        <v>188</v>
      </c>
      <c r="C26" s="6" t="s">
        <v>189</v>
      </c>
      <c r="D26" s="6" t="s">
        <v>190</v>
      </c>
      <c r="E26" s="6" t="s">
        <v>336</v>
      </c>
      <c r="F26" s="7"/>
      <c r="G26" s="7"/>
      <c r="H26" s="7"/>
      <c r="I26" s="7"/>
      <c r="J26" s="7"/>
      <c r="K26" s="6"/>
    </row>
    <row r="27" spans="1:11" x14ac:dyDescent="0.3">
      <c r="A27" s="6" t="s">
        <v>394</v>
      </c>
      <c r="B27" s="6" t="s">
        <v>194</v>
      </c>
      <c r="C27" s="6" t="s">
        <v>195</v>
      </c>
      <c r="D27" s="6" t="s">
        <v>196</v>
      </c>
      <c r="E27" s="6" t="s">
        <v>41</v>
      </c>
      <c r="F27" s="7"/>
      <c r="G27" s="7"/>
      <c r="H27" s="7"/>
      <c r="I27" s="7"/>
      <c r="J27" s="7"/>
      <c r="K27" s="6"/>
    </row>
    <row r="28" spans="1:11" x14ac:dyDescent="0.3">
      <c r="A28" s="6" t="s">
        <v>397</v>
      </c>
      <c r="B28" s="6" t="s">
        <v>201</v>
      </c>
      <c r="C28" s="6" t="s">
        <v>189</v>
      </c>
      <c r="D28" s="6" t="s">
        <v>202</v>
      </c>
      <c r="E28" s="6" t="s">
        <v>41</v>
      </c>
      <c r="F28" s="7"/>
      <c r="G28" s="7"/>
      <c r="H28" s="7"/>
      <c r="I28" s="7"/>
      <c r="J28" s="7"/>
      <c r="K28" s="6"/>
    </row>
    <row r="29" spans="1:11" x14ac:dyDescent="0.3">
      <c r="A29" s="6" t="s">
        <v>400</v>
      </c>
      <c r="B29" s="6" t="s">
        <v>197</v>
      </c>
      <c r="C29" s="6" t="s">
        <v>195</v>
      </c>
      <c r="D29" s="6" t="s">
        <v>198</v>
      </c>
      <c r="E29" s="6" t="s">
        <v>41</v>
      </c>
      <c r="F29" s="7"/>
      <c r="G29" s="7"/>
      <c r="H29" s="7"/>
      <c r="I29" s="7"/>
      <c r="J29" s="7"/>
      <c r="K29" s="6"/>
    </row>
    <row r="30" spans="1:11" x14ac:dyDescent="0.3">
      <c r="A30" s="6" t="s">
        <v>403</v>
      </c>
      <c r="B30" s="6" t="s">
        <v>205</v>
      </c>
      <c r="C30" s="6" t="s">
        <v>195</v>
      </c>
      <c r="D30" s="6" t="s">
        <v>206</v>
      </c>
      <c r="E30" s="6" t="s">
        <v>41</v>
      </c>
      <c r="F30" s="7"/>
      <c r="G30" s="7"/>
      <c r="H30" s="7"/>
      <c r="I30" s="7"/>
      <c r="J30" s="7"/>
      <c r="K30" s="6" t="s">
        <v>536</v>
      </c>
    </row>
    <row r="31" spans="1:11" x14ac:dyDescent="0.3">
      <c r="A31" s="6" t="s">
        <v>406</v>
      </c>
      <c r="B31" s="6" t="s">
        <v>191</v>
      </c>
      <c r="C31" s="6" t="s">
        <v>192</v>
      </c>
      <c r="D31" s="6" t="s">
        <v>193</v>
      </c>
      <c r="E31" s="6" t="s">
        <v>41</v>
      </c>
      <c r="F31" s="7"/>
      <c r="G31" s="7"/>
      <c r="H31" s="7"/>
      <c r="I31" s="7"/>
      <c r="J31" s="7"/>
      <c r="K31" s="6"/>
    </row>
    <row r="32" spans="1:11" x14ac:dyDescent="0.3">
      <c r="A32" s="6" t="s">
        <v>437</v>
      </c>
      <c r="B32" s="6" t="s">
        <v>57</v>
      </c>
      <c r="C32" s="6" t="s">
        <v>19</v>
      </c>
      <c r="D32" s="6" t="s">
        <v>58</v>
      </c>
      <c r="E32" s="6" t="s">
        <v>41</v>
      </c>
      <c r="F32" s="7"/>
      <c r="G32" s="7"/>
      <c r="H32" s="7"/>
      <c r="I32" s="7"/>
      <c r="J32" s="7"/>
      <c r="K32" s="6"/>
    </row>
    <row r="33" spans="1:11" x14ac:dyDescent="0.3">
      <c r="A33" s="6" t="s">
        <v>440</v>
      </c>
      <c r="B33" s="6" t="s">
        <v>55</v>
      </c>
      <c r="C33" s="6" t="s">
        <v>19</v>
      </c>
      <c r="D33" s="6" t="s">
        <v>56</v>
      </c>
      <c r="E33" s="6" t="s">
        <v>41</v>
      </c>
      <c r="F33" s="7"/>
      <c r="G33" s="7"/>
      <c r="H33" s="7"/>
      <c r="I33" s="7"/>
      <c r="J33" s="7"/>
      <c r="K33" s="6"/>
    </row>
    <row r="34" spans="1:11" x14ac:dyDescent="0.3">
      <c r="A34" s="6" t="s">
        <v>443</v>
      </c>
      <c r="B34" s="6" t="s">
        <v>50</v>
      </c>
      <c r="C34" s="6" t="s">
        <v>19</v>
      </c>
      <c r="D34" s="6" t="s">
        <v>51</v>
      </c>
      <c r="E34" s="6" t="s">
        <v>41</v>
      </c>
      <c r="F34" s="7"/>
      <c r="G34" s="7"/>
      <c r="H34" s="7"/>
      <c r="I34" s="7"/>
      <c r="J34" s="7"/>
      <c r="K34" s="6"/>
    </row>
    <row r="35" spans="1:11" x14ac:dyDescent="0.3">
      <c r="A35" s="6" t="s">
        <v>446</v>
      </c>
      <c r="B35" s="6" t="s">
        <v>184</v>
      </c>
      <c r="C35" s="6" t="s">
        <v>185</v>
      </c>
      <c r="D35" s="6" t="s">
        <v>186</v>
      </c>
      <c r="E35" s="6" t="s">
        <v>41</v>
      </c>
      <c r="F35" s="7"/>
      <c r="G35" s="7"/>
      <c r="H35" s="7"/>
      <c r="I35" s="7"/>
      <c r="J35" s="7"/>
      <c r="K35" s="6"/>
    </row>
    <row r="36" spans="1:11" x14ac:dyDescent="0.3">
      <c r="A36" s="6" t="s">
        <v>449</v>
      </c>
      <c r="B36" s="6" t="s">
        <v>48</v>
      </c>
      <c r="C36" s="6" t="s">
        <v>34</v>
      </c>
      <c r="D36" s="6" t="s">
        <v>49</v>
      </c>
      <c r="E36" s="6" t="s">
        <v>41</v>
      </c>
      <c r="F36" s="7"/>
      <c r="G36" s="7"/>
      <c r="H36" s="7"/>
      <c r="I36" s="7"/>
      <c r="J36" s="7"/>
      <c r="K36" s="6"/>
    </row>
    <row r="37" spans="1:11" x14ac:dyDescent="0.3">
      <c r="A37" s="6" t="s">
        <v>452</v>
      </c>
      <c r="B37" s="6" t="s">
        <v>59</v>
      </c>
      <c r="C37" s="6" t="s">
        <v>23</v>
      </c>
      <c r="D37" s="6" t="s">
        <v>60</v>
      </c>
      <c r="E37" s="6" t="s">
        <v>41</v>
      </c>
      <c r="F37" s="7"/>
      <c r="G37" s="7"/>
      <c r="H37" s="7"/>
      <c r="I37" s="7"/>
      <c r="J37" s="7"/>
      <c r="K37" s="6" t="s">
        <v>536</v>
      </c>
    </row>
    <row r="38" spans="1:11" x14ac:dyDescent="0.3">
      <c r="A38" s="6" t="s">
        <v>456</v>
      </c>
      <c r="B38" s="6" t="s">
        <v>43</v>
      </c>
      <c r="C38" s="6" t="s">
        <v>19</v>
      </c>
      <c r="D38" s="6" t="s">
        <v>44</v>
      </c>
      <c r="E38" s="6" t="s">
        <v>41</v>
      </c>
      <c r="F38" s="7"/>
      <c r="G38" s="7"/>
      <c r="H38" s="7"/>
      <c r="I38" s="7"/>
      <c r="J38" s="7"/>
      <c r="K38" s="6" t="s">
        <v>536</v>
      </c>
    </row>
    <row r="39" spans="1:11" x14ac:dyDescent="0.3">
      <c r="A39" s="6" t="s">
        <v>460</v>
      </c>
      <c r="B39" s="6" t="s">
        <v>45</v>
      </c>
      <c r="C39" s="6" t="s">
        <v>46</v>
      </c>
      <c r="D39" s="6" t="s">
        <v>47</v>
      </c>
      <c r="E39" s="6" t="s">
        <v>41</v>
      </c>
      <c r="F39" s="7"/>
      <c r="G39" s="7"/>
      <c r="H39" s="7"/>
      <c r="I39" s="7"/>
      <c r="J39" s="7"/>
      <c r="K39" s="6"/>
    </row>
    <row r="40" spans="1:11" x14ac:dyDescent="0.3">
      <c r="A40" s="6" t="s">
        <v>463</v>
      </c>
      <c r="B40" s="6" t="s">
        <v>40</v>
      </c>
      <c r="C40" s="6" t="s">
        <v>19</v>
      </c>
      <c r="D40" s="6" t="s">
        <v>42</v>
      </c>
      <c r="E40" s="6" t="s">
        <v>41</v>
      </c>
      <c r="F40" s="7"/>
      <c r="G40" s="7"/>
      <c r="H40" s="7"/>
      <c r="I40" s="7"/>
      <c r="J40" s="7"/>
      <c r="K40" s="6"/>
    </row>
    <row r="41" spans="1:11" x14ac:dyDescent="0.3">
      <c r="A41" s="6" t="s">
        <v>466</v>
      </c>
      <c r="B41" s="6" t="s">
        <v>53</v>
      </c>
      <c r="C41" s="6" t="s">
        <v>46</v>
      </c>
      <c r="D41" s="6" t="s">
        <v>54</v>
      </c>
      <c r="E41" s="6" t="s">
        <v>41</v>
      </c>
      <c r="F41" s="7"/>
      <c r="G41" s="7"/>
      <c r="H41" s="7"/>
      <c r="I41" s="7"/>
      <c r="J41" s="7"/>
      <c r="K41" s="6"/>
    </row>
    <row r="42" spans="1:11" x14ac:dyDescent="0.3">
      <c r="A42" s="6" t="s">
        <v>469</v>
      </c>
      <c r="B42" s="6" t="s">
        <v>176</v>
      </c>
      <c r="C42" s="6" t="s">
        <v>172</v>
      </c>
      <c r="D42" s="6" t="s">
        <v>177</v>
      </c>
      <c r="E42" s="6" t="s">
        <v>41</v>
      </c>
      <c r="F42" s="7"/>
      <c r="G42" s="7"/>
      <c r="H42" s="7"/>
      <c r="I42" s="7"/>
      <c r="J42" s="7"/>
      <c r="K42" s="6"/>
    </row>
    <row r="43" spans="1:11" x14ac:dyDescent="0.3">
      <c r="A43" s="6" t="s">
        <v>472</v>
      </c>
      <c r="B43" s="6" t="s">
        <v>171</v>
      </c>
      <c r="C43" s="6" t="s">
        <v>172</v>
      </c>
      <c r="D43" s="6" t="s">
        <v>173</v>
      </c>
      <c r="E43" s="6" t="s">
        <v>41</v>
      </c>
      <c r="F43" s="7"/>
      <c r="G43" s="7"/>
      <c r="H43" s="7"/>
      <c r="I43" s="7"/>
      <c r="J43" s="7"/>
      <c r="K43" s="6"/>
    </row>
    <row r="44" spans="1:11" x14ac:dyDescent="0.3">
      <c r="A44" s="6" t="s">
        <v>475</v>
      </c>
      <c r="B44" s="6" t="s">
        <v>166</v>
      </c>
      <c r="C44" s="6" t="s">
        <v>77</v>
      </c>
      <c r="D44" s="6" t="s">
        <v>167</v>
      </c>
      <c r="E44" s="6" t="s">
        <v>41</v>
      </c>
      <c r="F44" s="7"/>
      <c r="G44" s="7"/>
      <c r="H44" s="7"/>
      <c r="I44" s="7"/>
      <c r="J44" s="7"/>
      <c r="K44" s="6"/>
    </row>
    <row r="45" spans="1:11" x14ac:dyDescent="0.3">
      <c r="A45" s="6" t="s">
        <v>478</v>
      </c>
      <c r="B45" s="6" t="s">
        <v>157</v>
      </c>
      <c r="C45" s="6" t="s">
        <v>77</v>
      </c>
      <c r="D45" s="6" t="s">
        <v>158</v>
      </c>
      <c r="E45" s="6" t="s">
        <v>41</v>
      </c>
      <c r="F45" s="7"/>
      <c r="G45" s="7"/>
      <c r="H45" s="7"/>
      <c r="I45" s="7"/>
      <c r="J45" s="7"/>
      <c r="K45" s="6"/>
    </row>
    <row r="46" spans="1:11" x14ac:dyDescent="0.3">
      <c r="A46" s="6" t="s">
        <v>481</v>
      </c>
      <c r="B46" s="6" t="s">
        <v>174</v>
      </c>
      <c r="C46" s="6" t="s">
        <v>172</v>
      </c>
      <c r="D46" s="6" t="s">
        <v>175</v>
      </c>
      <c r="E46" s="6" t="s">
        <v>41</v>
      </c>
      <c r="F46" s="7"/>
      <c r="G46" s="7"/>
      <c r="H46" s="7"/>
      <c r="I46" s="7"/>
      <c r="J46" s="7"/>
      <c r="K4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REBUILT</vt:lpstr>
      <vt:lpstr>Main Data</vt:lpstr>
      <vt:lpstr>County</vt:lpstr>
      <vt:lpstr>course_coordinates (1)</vt:lpstr>
      <vt:lpstr>Google Ratings</vt:lpstr>
      <vt:lpstr>Slope Ratings</vt:lpstr>
      <vt:lpstr>Courses</vt:lpstr>
      <vt:lpstr>GreenFees</vt:lpstr>
      <vt:lpstr>README</vt:lpstr>
      <vt:lpstr>CANVA</vt:lpstr>
      <vt:lpstr>CallSheet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Kronk</cp:lastModifiedBy>
  <dcterms:created xsi:type="dcterms:W3CDTF">2026-07-28T17:29:48Z</dcterms:created>
  <dcterms:modified xsi:type="dcterms:W3CDTF">2026-08-14T09:35:49Z</dcterms:modified>
</cp:coreProperties>
</file>